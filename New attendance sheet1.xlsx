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san\OneDrive\Desktop\"/>
    </mc:Choice>
  </mc:AlternateContent>
  <xr:revisionPtr revIDLastSave="0" documentId="8_{C8D59A33-74CD-48E7-93DB-48CD89AB8613}" xr6:coauthVersionLast="47" xr6:coauthVersionMax="47" xr10:uidLastSave="{00000000-0000-0000-0000-000000000000}"/>
  <bookViews>
    <workbookView xWindow="-110" yWindow="-110" windowWidth="19420" windowHeight="10300" xr2:uid="{F1B53A7B-D88F-46D7-B8F0-B8D0C1EB1900}"/>
  </bookViews>
  <sheets>
    <sheet name="Attendance sheet" sheetId="5" r:id="rId1"/>
    <sheet name="Sheet1" sheetId="3" r:id="rId2"/>
    <sheet name="Sheet2" sheetId="2" r:id="rId3"/>
    <sheet name="Attendance Sheet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5" l="1"/>
  <c r="AL8" i="5"/>
  <c r="AK8" i="5"/>
  <c r="AJ8" i="5"/>
  <c r="B1" i="5"/>
  <c r="D1" i="5" s="1"/>
  <c r="AL8" i="4"/>
  <c r="AK8" i="4"/>
  <c r="AJ8" i="4"/>
  <c r="B19" i="4"/>
  <c r="B1" i="4"/>
  <c r="D1" i="4" s="1"/>
  <c r="B2" i="3"/>
  <c r="D1" i="3"/>
  <c r="E1" i="3"/>
  <c r="H6" i="3"/>
  <c r="B2" i="5" l="1"/>
  <c r="H6" i="5"/>
  <c r="B2" i="4"/>
  <c r="H6" i="4"/>
  <c r="H5" i="3"/>
  <c r="H1" i="5" l="1"/>
  <c r="H3" i="5"/>
  <c r="I6" i="5"/>
  <c r="H5" i="5"/>
  <c r="H2" i="5"/>
  <c r="H5" i="4"/>
  <c r="H3" i="4"/>
  <c r="H2" i="4"/>
  <c r="H1" i="4"/>
  <c r="I6" i="4"/>
  <c r="I6" i="3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I3" i="5" l="1"/>
  <c r="J6" i="5"/>
  <c r="I2" i="5"/>
  <c r="I1" i="5"/>
  <c r="I5" i="5"/>
  <c r="I2" i="4"/>
  <c r="I3" i="4"/>
  <c r="I1" i="4"/>
  <c r="J6" i="4"/>
  <c r="I5" i="4"/>
  <c r="AH6" i="3"/>
  <c r="AI6" i="3" s="1"/>
  <c r="AJ6" i="3" s="1"/>
  <c r="AK6" i="3" s="1"/>
  <c r="AL6" i="3" s="1"/>
  <c r="I5" i="3"/>
  <c r="J5" i="3"/>
  <c r="K5" i="3"/>
  <c r="J1" i="5" l="1"/>
  <c r="J3" i="5"/>
  <c r="K6" i="5"/>
  <c r="J2" i="5"/>
  <c r="J5" i="5"/>
  <c r="J2" i="4"/>
  <c r="J3" i="4"/>
  <c r="J1" i="4"/>
  <c r="K6" i="4"/>
  <c r="J5" i="4"/>
  <c r="L5" i="3"/>
  <c r="L6" i="5" l="1"/>
  <c r="K2" i="5"/>
  <c r="K1" i="5"/>
  <c r="K5" i="5"/>
  <c r="K3" i="5"/>
  <c r="K3" i="4"/>
  <c r="K1" i="4"/>
  <c r="K2" i="4"/>
  <c r="L6" i="4"/>
  <c r="K5" i="4"/>
  <c r="M5" i="3"/>
  <c r="L5" i="5" l="1"/>
  <c r="M6" i="5"/>
  <c r="L2" i="5"/>
  <c r="L3" i="5"/>
  <c r="L1" i="5"/>
  <c r="L1" i="4"/>
  <c r="L2" i="4"/>
  <c r="L3" i="4"/>
  <c r="M6" i="4"/>
  <c r="L5" i="4"/>
  <c r="N5" i="3"/>
  <c r="N6" i="5" l="1"/>
  <c r="M2" i="5"/>
  <c r="M1" i="5"/>
  <c r="M5" i="5"/>
  <c r="M3" i="5"/>
  <c r="M1" i="4"/>
  <c r="M2" i="4"/>
  <c r="M3" i="4"/>
  <c r="N6" i="4"/>
  <c r="M5" i="4"/>
  <c r="O5" i="3"/>
  <c r="N1" i="5" l="1"/>
  <c r="N5" i="5"/>
  <c r="N3" i="5"/>
  <c r="O6" i="5"/>
  <c r="N2" i="5"/>
  <c r="N3" i="4"/>
  <c r="N1" i="4"/>
  <c r="N2" i="4"/>
  <c r="O6" i="4"/>
  <c r="N5" i="4"/>
  <c r="P5" i="3"/>
  <c r="O3" i="5" l="1"/>
  <c r="P6" i="5"/>
  <c r="O1" i="5"/>
  <c r="O5" i="5"/>
  <c r="O2" i="5"/>
  <c r="O3" i="4"/>
  <c r="O2" i="4"/>
  <c r="O1" i="4"/>
  <c r="P6" i="4"/>
  <c r="O5" i="4"/>
  <c r="Q5" i="3"/>
  <c r="P1" i="5" l="1"/>
  <c r="P5" i="5"/>
  <c r="P3" i="5"/>
  <c r="Q6" i="5"/>
  <c r="P2" i="5"/>
  <c r="P3" i="4"/>
  <c r="P1" i="4"/>
  <c r="P2" i="4"/>
  <c r="Q6" i="4"/>
  <c r="P5" i="4"/>
  <c r="R5" i="3"/>
  <c r="Q1" i="5" l="1"/>
  <c r="Q5" i="5"/>
  <c r="Q3" i="5"/>
  <c r="R6" i="5"/>
  <c r="Q2" i="5"/>
  <c r="Q1" i="4"/>
  <c r="Q3" i="4"/>
  <c r="Q2" i="4"/>
  <c r="R6" i="4"/>
  <c r="Q5" i="4"/>
  <c r="S5" i="3"/>
  <c r="S6" i="5" l="1"/>
  <c r="R2" i="5"/>
  <c r="R5" i="5"/>
  <c r="R3" i="5"/>
  <c r="R1" i="5"/>
  <c r="R2" i="4"/>
  <c r="R1" i="4"/>
  <c r="R3" i="4"/>
  <c r="S6" i="4"/>
  <c r="R5" i="4"/>
  <c r="T5" i="3"/>
  <c r="S5" i="5" l="1"/>
  <c r="S3" i="5"/>
  <c r="T6" i="5"/>
  <c r="S2" i="5"/>
  <c r="S1" i="5"/>
  <c r="S2" i="4"/>
  <c r="S3" i="4"/>
  <c r="S1" i="4"/>
  <c r="T6" i="4"/>
  <c r="S5" i="4"/>
  <c r="U5" i="3"/>
  <c r="T3" i="5" l="1"/>
  <c r="U6" i="5"/>
  <c r="T1" i="5"/>
  <c r="T5" i="5"/>
  <c r="T2" i="5"/>
  <c r="T2" i="4"/>
  <c r="T3" i="4"/>
  <c r="T1" i="4"/>
  <c r="U6" i="4"/>
  <c r="T5" i="4"/>
  <c r="V5" i="3"/>
  <c r="U5" i="5" l="1"/>
  <c r="U3" i="5"/>
  <c r="V6" i="5"/>
  <c r="U2" i="5"/>
  <c r="U1" i="5"/>
  <c r="U3" i="4"/>
  <c r="U1" i="4"/>
  <c r="U2" i="4"/>
  <c r="V6" i="4"/>
  <c r="U5" i="4"/>
  <c r="W5" i="3"/>
  <c r="V1" i="5" l="1"/>
  <c r="V3" i="5"/>
  <c r="W6" i="5"/>
  <c r="V2" i="5"/>
  <c r="V5" i="5"/>
  <c r="V2" i="4"/>
  <c r="V3" i="4"/>
  <c r="V1" i="4"/>
  <c r="W6" i="4"/>
  <c r="V5" i="4"/>
  <c r="X5" i="3"/>
  <c r="X6" i="5" l="1"/>
  <c r="W2" i="5"/>
  <c r="W1" i="5"/>
  <c r="W5" i="5"/>
  <c r="W3" i="5"/>
  <c r="W2" i="4"/>
  <c r="W3" i="4"/>
  <c r="W1" i="4"/>
  <c r="X6" i="4"/>
  <c r="W5" i="4"/>
  <c r="Y5" i="3"/>
  <c r="X5" i="5" l="1"/>
  <c r="X3" i="5"/>
  <c r="X2" i="5"/>
  <c r="Y6" i="5"/>
  <c r="X1" i="5"/>
  <c r="X1" i="4"/>
  <c r="X3" i="4"/>
  <c r="X2" i="4"/>
  <c r="Y6" i="4"/>
  <c r="X5" i="4"/>
  <c r="Z5" i="3"/>
  <c r="Y3" i="5" l="1"/>
  <c r="Y2" i="5"/>
  <c r="Y1" i="5"/>
  <c r="Z6" i="5"/>
  <c r="Y5" i="5"/>
  <c r="Y1" i="4"/>
  <c r="Y3" i="4"/>
  <c r="Y2" i="4"/>
  <c r="Z6" i="4"/>
  <c r="Y5" i="4"/>
  <c r="AA5" i="3"/>
  <c r="Z1" i="5" l="1"/>
  <c r="Z5" i="5"/>
  <c r="AA6" i="5"/>
  <c r="Z3" i="5"/>
  <c r="Z2" i="5"/>
  <c r="Z3" i="4"/>
  <c r="Z2" i="4"/>
  <c r="Z1" i="4"/>
  <c r="AA6" i="4"/>
  <c r="Z5" i="4"/>
  <c r="AB5" i="3"/>
  <c r="AA3" i="5" l="1"/>
  <c r="AA2" i="5"/>
  <c r="AA1" i="5"/>
  <c r="AA5" i="5"/>
  <c r="AB6" i="5"/>
  <c r="AA3" i="4"/>
  <c r="AA2" i="4"/>
  <c r="AA1" i="4"/>
  <c r="AB6" i="4"/>
  <c r="AA5" i="4"/>
  <c r="AC5" i="3"/>
  <c r="AB2" i="5" l="1"/>
  <c r="AB1" i="5"/>
  <c r="AB5" i="5"/>
  <c r="AB3" i="5"/>
  <c r="AC6" i="5"/>
  <c r="AB3" i="4"/>
  <c r="AB2" i="4"/>
  <c r="AB1" i="4"/>
  <c r="AC6" i="4"/>
  <c r="AB5" i="4"/>
  <c r="AD5" i="3"/>
  <c r="AC2" i="5" l="1"/>
  <c r="AC1" i="5"/>
  <c r="AC5" i="5"/>
  <c r="AC3" i="5"/>
  <c r="AD6" i="5"/>
  <c r="AC1" i="4"/>
  <c r="AC3" i="4"/>
  <c r="AC2" i="4"/>
  <c r="AD6" i="4"/>
  <c r="AC5" i="4"/>
  <c r="AE5" i="3"/>
  <c r="AE6" i="5" l="1"/>
  <c r="AD2" i="5"/>
  <c r="AD5" i="5"/>
  <c r="AD3" i="5"/>
  <c r="AD1" i="5"/>
  <c r="AD1" i="4"/>
  <c r="AD2" i="4"/>
  <c r="AD3" i="4"/>
  <c r="AE6" i="4"/>
  <c r="AD5" i="4"/>
  <c r="AF5" i="3"/>
  <c r="AE1" i="5" l="1"/>
  <c r="AE5" i="5"/>
  <c r="AE3" i="5"/>
  <c r="AF6" i="5"/>
  <c r="AE2" i="5"/>
  <c r="AE3" i="4"/>
  <c r="AE2" i="4"/>
  <c r="AE1" i="4"/>
  <c r="AF6" i="4"/>
  <c r="AE5" i="4"/>
  <c r="AG5" i="3"/>
  <c r="AF1" i="5" l="1"/>
  <c r="AF3" i="5"/>
  <c r="AF2" i="5"/>
  <c r="AG6" i="5"/>
  <c r="AF5" i="5"/>
  <c r="AF3" i="4"/>
  <c r="AF2" i="4"/>
  <c r="AF1" i="4"/>
  <c r="AG6" i="4"/>
  <c r="AF5" i="4"/>
  <c r="AH5" i="3"/>
  <c r="AG3" i="5" l="1"/>
  <c r="AG2" i="5"/>
  <c r="AH6" i="5"/>
  <c r="AG1" i="5"/>
  <c r="AG5" i="5"/>
  <c r="AG3" i="4"/>
  <c r="AG2" i="4"/>
  <c r="AG1" i="4"/>
  <c r="AH6" i="4"/>
  <c r="AG5" i="4"/>
  <c r="AH1" i="5" l="1"/>
  <c r="D19" i="5" s="1"/>
  <c r="AH5" i="5"/>
  <c r="AH3" i="5"/>
  <c r="D24" i="5" s="1"/>
  <c r="AH2" i="5"/>
  <c r="B24" i="5" s="1"/>
  <c r="AI6" i="5"/>
  <c r="AH3" i="4"/>
  <c r="D24" i="4" s="1"/>
  <c r="AH2" i="4"/>
  <c r="B24" i="4" s="1"/>
  <c r="AH1" i="4"/>
  <c r="D19" i="4" s="1"/>
  <c r="AI6" i="4"/>
  <c r="AH5" i="4"/>
  <c r="AJ6" i="5" l="1"/>
  <c r="AJ5" i="5" s="1"/>
  <c r="AI5" i="5"/>
  <c r="AJ6" i="4"/>
  <c r="AJ5" i="4" s="1"/>
  <c r="AI5" i="4"/>
</calcChain>
</file>

<file path=xl/sharedStrings.xml><?xml version="1.0" encoding="utf-8"?>
<sst xmlns="http://schemas.openxmlformats.org/spreadsheetml/2006/main" count="702" uniqueCount="104">
  <si>
    <t>Attendance Sheet</t>
  </si>
  <si>
    <t>ID</t>
  </si>
  <si>
    <t>Name</t>
  </si>
  <si>
    <t>Select Month :</t>
  </si>
  <si>
    <t>Jul</t>
  </si>
  <si>
    <t>Mon</t>
  </si>
  <si>
    <t>H= Half Day</t>
  </si>
  <si>
    <t xml:space="preserve">Select Month     :  </t>
  </si>
  <si>
    <t>August</t>
  </si>
  <si>
    <t xml:space="preserve">Select Year         : </t>
  </si>
  <si>
    <t>Week Off            :</t>
  </si>
  <si>
    <t>Friday</t>
  </si>
  <si>
    <t>P = Present</t>
  </si>
  <si>
    <t>A = Absent</t>
  </si>
  <si>
    <t>Total Emp</t>
  </si>
  <si>
    <t>Present</t>
  </si>
  <si>
    <t>Absent</t>
  </si>
  <si>
    <t>Half day</t>
  </si>
  <si>
    <t>Jan</t>
  </si>
  <si>
    <t>January</t>
  </si>
  <si>
    <t>Monday</t>
  </si>
  <si>
    <t>Sunday</t>
  </si>
  <si>
    <t>Feb</t>
  </si>
  <si>
    <t>Tue</t>
  </si>
  <si>
    <t>February</t>
  </si>
  <si>
    <t>Tuesday</t>
  </si>
  <si>
    <t>Mar</t>
  </si>
  <si>
    <t>Wed</t>
  </si>
  <si>
    <t>March</t>
  </si>
  <si>
    <t>Wednesday</t>
  </si>
  <si>
    <t>Apr</t>
  </si>
  <si>
    <t>Thu</t>
  </si>
  <si>
    <t>April</t>
  </si>
  <si>
    <t>Thursday</t>
  </si>
  <si>
    <t>May</t>
  </si>
  <si>
    <t>Fri</t>
  </si>
  <si>
    <t>Jun</t>
  </si>
  <si>
    <t>Sat</t>
  </si>
  <si>
    <t>June</t>
  </si>
  <si>
    <t>Saturday</t>
  </si>
  <si>
    <t>Sun</t>
  </si>
  <si>
    <t>July</t>
  </si>
  <si>
    <t>Aug</t>
  </si>
  <si>
    <t>Sep</t>
  </si>
  <si>
    <t>September</t>
  </si>
  <si>
    <t>Oct</t>
  </si>
  <si>
    <t>October</t>
  </si>
  <si>
    <t>Nov</t>
  </si>
  <si>
    <t>November</t>
  </si>
  <si>
    <t>Dec</t>
  </si>
  <si>
    <t>December</t>
  </si>
  <si>
    <t>P</t>
  </si>
  <si>
    <t>A</t>
  </si>
  <si>
    <t>H</t>
  </si>
  <si>
    <t>Absence</t>
  </si>
  <si>
    <t>Presence</t>
  </si>
  <si>
    <t>Half Day</t>
  </si>
  <si>
    <t>Select Year :</t>
  </si>
  <si>
    <t>Week Off :</t>
  </si>
  <si>
    <t>P = Presence</t>
  </si>
  <si>
    <t>A = Absence</t>
  </si>
  <si>
    <t>H = Half Day</t>
  </si>
  <si>
    <t>E001</t>
  </si>
  <si>
    <t>Jiya</t>
  </si>
  <si>
    <t>E002</t>
  </si>
  <si>
    <t>Suman</t>
  </si>
  <si>
    <t>E003</t>
  </si>
  <si>
    <t>Neha</t>
  </si>
  <si>
    <t>E004</t>
  </si>
  <si>
    <t>Rohit</t>
  </si>
  <si>
    <t>E005</t>
  </si>
  <si>
    <t>Som</t>
  </si>
  <si>
    <t>E006</t>
  </si>
  <si>
    <t>Avi Sharma</t>
  </si>
  <si>
    <t>E007</t>
  </si>
  <si>
    <t>Om</t>
  </si>
  <si>
    <t>E008</t>
  </si>
  <si>
    <t>Deepak</t>
  </si>
  <si>
    <t>E009</t>
  </si>
  <si>
    <t>Ravi Kumar</t>
  </si>
  <si>
    <t>E010</t>
  </si>
  <si>
    <t>Rohan Singh</t>
  </si>
  <si>
    <t>E011</t>
  </si>
  <si>
    <t>E012</t>
  </si>
  <si>
    <t>Sumaann</t>
  </si>
  <si>
    <t>E013</t>
  </si>
  <si>
    <t>Nehaa</t>
  </si>
  <si>
    <t>E014</t>
  </si>
  <si>
    <t>Rohitt</t>
  </si>
  <si>
    <t>E015</t>
  </si>
  <si>
    <t>Mukesh</t>
  </si>
  <si>
    <t>E016</t>
  </si>
  <si>
    <t>E017</t>
  </si>
  <si>
    <t>E018</t>
  </si>
  <si>
    <t>E019</t>
  </si>
  <si>
    <t>E020</t>
  </si>
  <si>
    <t>E021</t>
  </si>
  <si>
    <t>Avadesh</t>
  </si>
  <si>
    <t>E022</t>
  </si>
  <si>
    <t>Anurag</t>
  </si>
  <si>
    <t>E023</t>
  </si>
  <si>
    <t>Girish</t>
  </si>
  <si>
    <t>E024</t>
  </si>
  <si>
    <t>Atul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</si>
</sst>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;@"/>
    <numFmt numFmtId="165" formatCode="dd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textRotation="90"/>
    </xf>
    <xf numFmtId="0" fontId="1" fillId="4" borderId="0" xfId="0" applyFont="1" applyFill="1"/>
    <xf numFmtId="0" fontId="1" fillId="4" borderId="0" xfId="0" applyFont="1" applyFill="1" applyAlignment="1">
      <alignment horizontal="right"/>
    </xf>
    <xf numFmtId="0" fontId="0" fillId="0" borderId="0" xfId="0" applyAlignment="1">
      <alignment horizontal="right"/>
    </xf>
    <xf numFmtId="165" fontId="5" fillId="0" borderId="0" xfId="0" applyNumberFormat="1" applyFont="1"/>
    <xf numFmtId="14" fontId="0" fillId="0" borderId="0" xfId="0" applyNumberFormat="1"/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6" borderId="0" xfId="0" applyFont="1" applyFill="1" applyAlignment="1">
      <alignment horizontal="center"/>
    </xf>
    <xf numFmtId="0" fontId="1" fillId="3" borderId="0" xfId="0" applyFont="1" applyFill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3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theme="0" tint="-0.149967955565050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2" tint="-0.24994659260841701"/>
      </font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2" tint="-0.24994659260841701"/>
      </font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FF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BAEE-C882-4E99-98F2-016C74FD7CDC}">
  <dimension ref="B1:AL30"/>
  <sheetViews>
    <sheetView tabSelected="1" topLeftCell="B5" workbookViewId="0">
      <selection activeCell="D8" sqref="D8"/>
    </sheetView>
  </sheetViews>
  <sheetFormatPr defaultRowHeight="14.5" x14ac:dyDescent="0.35"/>
  <cols>
    <col min="2" max="2" width="17.54296875" customWidth="1"/>
    <col min="3" max="3" width="2.81640625" customWidth="1"/>
    <col min="4" max="4" width="17.81640625" customWidth="1"/>
    <col min="7" max="7" width="16.81640625" customWidth="1"/>
    <col min="8" max="34" width="3.453125" bestFit="1" customWidth="1"/>
  </cols>
  <sheetData>
    <row r="1" spans="2:38" hidden="1" x14ac:dyDescent="0.35">
      <c r="B1" s="3">
        <f>DATEVALUE("1"&amp;D8&amp;D10)</f>
        <v>46082</v>
      </c>
      <c r="D1" s="3">
        <f>EOMONTH(B1,0)</f>
        <v>46112</v>
      </c>
      <c r="G1" t="s">
        <v>51</v>
      </c>
      <c r="H1">
        <f ca="1">IF(H6=TODAY(),COUNTIF(H7:H30,"P"),"")</f>
        <v>23</v>
      </c>
      <c r="I1" t="str">
        <f t="shared" ref="I1:AH1" ca="1" si="0">IF(I6=TODAY(),COUNTIF(I7:I30,"P"),"")</f>
        <v/>
      </c>
      <c r="J1" t="str">
        <f t="shared" ca="1" si="0"/>
        <v/>
      </c>
      <c r="K1" t="str">
        <f t="shared" ca="1" si="0"/>
        <v/>
      </c>
      <c r="L1" t="str">
        <f t="shared" ca="1" si="0"/>
        <v/>
      </c>
      <c r="M1" t="str">
        <f t="shared" ca="1" si="0"/>
        <v/>
      </c>
      <c r="N1" t="str">
        <f t="shared" ca="1" si="0"/>
        <v/>
      </c>
      <c r="O1" t="str">
        <f t="shared" ca="1" si="0"/>
        <v/>
      </c>
      <c r="P1" t="str">
        <f t="shared" ca="1" si="0"/>
        <v/>
      </c>
      <c r="Q1" t="str">
        <f t="shared" ca="1" si="0"/>
        <v/>
      </c>
      <c r="R1" t="str">
        <f t="shared" ca="1" si="0"/>
        <v/>
      </c>
      <c r="S1" t="str">
        <f t="shared" ca="1" si="0"/>
        <v/>
      </c>
      <c r="T1" t="str">
        <f t="shared" ca="1" si="0"/>
        <v/>
      </c>
      <c r="U1" t="str">
        <f t="shared" ca="1" si="0"/>
        <v/>
      </c>
      <c r="V1" t="str">
        <f t="shared" ca="1" si="0"/>
        <v/>
      </c>
      <c r="W1" t="str">
        <f t="shared" ca="1" si="0"/>
        <v/>
      </c>
      <c r="X1" t="str">
        <f t="shared" ca="1" si="0"/>
        <v/>
      </c>
      <c r="Y1" t="str">
        <f t="shared" ca="1" si="0"/>
        <v/>
      </c>
      <c r="Z1" t="str">
        <f t="shared" ca="1" si="0"/>
        <v/>
      </c>
      <c r="AA1" t="str">
        <f t="shared" ca="1" si="0"/>
        <v/>
      </c>
      <c r="AB1" t="str">
        <f t="shared" ca="1" si="0"/>
        <v/>
      </c>
      <c r="AC1" t="str">
        <f t="shared" ca="1" si="0"/>
        <v/>
      </c>
      <c r="AD1" t="str">
        <f t="shared" ca="1" si="0"/>
        <v/>
      </c>
      <c r="AE1" t="str">
        <f t="shared" ca="1" si="0"/>
        <v/>
      </c>
      <c r="AF1" t="str">
        <f t="shared" ca="1" si="0"/>
        <v/>
      </c>
      <c r="AG1" t="str">
        <f t="shared" ca="1" si="0"/>
        <v/>
      </c>
      <c r="AH1" t="str">
        <f t="shared" ca="1" si="0"/>
        <v/>
      </c>
    </row>
    <row r="2" spans="2:38" hidden="1" x14ac:dyDescent="0.35">
      <c r="B2" t="str">
        <f>TEXT(B1,"dddd")</f>
        <v>Sunday</v>
      </c>
      <c r="G2" t="s">
        <v>52</v>
      </c>
      <c r="H2">
        <f ca="1">IF(H6=TODAY(),COUNTIF(H6:H31,"A"),"")</f>
        <v>1</v>
      </c>
      <c r="I2" t="str">
        <f t="shared" ref="I2:AH2" ca="1" si="1">IF(I6=TODAY(),COUNTIF(I6:I31,"A"),"")</f>
        <v/>
      </c>
      <c r="J2" t="str">
        <f t="shared" ca="1" si="1"/>
        <v/>
      </c>
      <c r="K2" t="str">
        <f t="shared" ca="1" si="1"/>
        <v/>
      </c>
      <c r="L2" t="str">
        <f t="shared" ca="1" si="1"/>
        <v/>
      </c>
      <c r="M2" t="str">
        <f t="shared" ca="1" si="1"/>
        <v/>
      </c>
      <c r="N2" t="str">
        <f t="shared" ca="1" si="1"/>
        <v/>
      </c>
      <c r="O2" t="str">
        <f t="shared" ca="1" si="1"/>
        <v/>
      </c>
      <c r="P2" t="str">
        <f t="shared" ca="1" si="1"/>
        <v/>
      </c>
      <c r="Q2" t="str">
        <f t="shared" ca="1" si="1"/>
        <v/>
      </c>
      <c r="R2" t="str">
        <f t="shared" ca="1" si="1"/>
        <v/>
      </c>
      <c r="S2" t="str">
        <f t="shared" ca="1" si="1"/>
        <v/>
      </c>
      <c r="T2" t="str">
        <f t="shared" ca="1" si="1"/>
        <v/>
      </c>
      <c r="U2" t="str">
        <f t="shared" ca="1" si="1"/>
        <v/>
      </c>
      <c r="V2" t="str">
        <f t="shared" ca="1" si="1"/>
        <v/>
      </c>
      <c r="W2" t="str">
        <f t="shared" ca="1" si="1"/>
        <v/>
      </c>
      <c r="X2" t="str">
        <f t="shared" ca="1" si="1"/>
        <v/>
      </c>
      <c r="Y2" t="str">
        <f t="shared" ca="1" si="1"/>
        <v/>
      </c>
      <c r="Z2" t="str">
        <f t="shared" ca="1" si="1"/>
        <v/>
      </c>
      <c r="AA2" t="str">
        <f t="shared" ca="1" si="1"/>
        <v/>
      </c>
      <c r="AB2" t="str">
        <f t="shared" ca="1" si="1"/>
        <v/>
      </c>
      <c r="AC2" t="str">
        <f t="shared" ca="1" si="1"/>
        <v/>
      </c>
      <c r="AD2" t="str">
        <f t="shared" ca="1" si="1"/>
        <v/>
      </c>
      <c r="AE2" t="str">
        <f t="shared" ca="1" si="1"/>
        <v/>
      </c>
      <c r="AF2" t="str">
        <f t="shared" ca="1" si="1"/>
        <v/>
      </c>
      <c r="AG2" t="str">
        <f t="shared" ca="1" si="1"/>
        <v/>
      </c>
      <c r="AH2" t="str">
        <f t="shared" ca="1" si="1"/>
        <v/>
      </c>
    </row>
    <row r="3" spans="2:38" hidden="1" x14ac:dyDescent="0.35">
      <c r="G3" t="s">
        <v>53</v>
      </c>
      <c r="H3">
        <f ca="1">IF(H6=TODAY(),COUNTIF(H6:H32,"H"),"")</f>
        <v>0</v>
      </c>
      <c r="I3" t="str">
        <f t="shared" ref="I3:AH3" ca="1" si="2">IF(I6=TODAY(),COUNTIF(I6:I32,"H"),"")</f>
        <v/>
      </c>
      <c r="J3" t="str">
        <f t="shared" ca="1" si="2"/>
        <v/>
      </c>
      <c r="K3" t="str">
        <f t="shared" ca="1" si="2"/>
        <v/>
      </c>
      <c r="L3" t="str">
        <f t="shared" ca="1" si="2"/>
        <v/>
      </c>
      <c r="M3" t="str">
        <f t="shared" ca="1" si="2"/>
        <v/>
      </c>
      <c r="N3" t="str">
        <f t="shared" ca="1" si="2"/>
        <v/>
      </c>
      <c r="O3" t="str">
        <f t="shared" ca="1" si="2"/>
        <v/>
      </c>
      <c r="P3" t="str">
        <f t="shared" ca="1" si="2"/>
        <v/>
      </c>
      <c r="Q3" t="str">
        <f t="shared" ca="1" si="2"/>
        <v/>
      </c>
      <c r="R3" t="str">
        <f t="shared" ca="1" si="2"/>
        <v/>
      </c>
      <c r="S3" t="str">
        <f t="shared" ca="1" si="2"/>
        <v/>
      </c>
      <c r="T3" t="str">
        <f t="shared" ca="1" si="2"/>
        <v/>
      </c>
      <c r="U3" t="str">
        <f t="shared" ca="1" si="2"/>
        <v/>
      </c>
      <c r="V3" t="str">
        <f t="shared" ca="1" si="2"/>
        <v/>
      </c>
      <c r="W3" t="str">
        <f t="shared" ca="1" si="2"/>
        <v/>
      </c>
      <c r="X3" t="str">
        <f t="shared" ca="1" si="2"/>
        <v/>
      </c>
      <c r="Y3" t="str">
        <f t="shared" ca="1" si="2"/>
        <v/>
      </c>
      <c r="Z3" t="str">
        <f t="shared" ca="1" si="2"/>
        <v/>
      </c>
      <c r="AA3" t="str">
        <f t="shared" ca="1" si="2"/>
        <v/>
      </c>
      <c r="AB3" t="str">
        <f t="shared" ca="1" si="2"/>
        <v/>
      </c>
      <c r="AC3" t="str">
        <f t="shared" ca="1" si="2"/>
        <v/>
      </c>
      <c r="AD3" t="str">
        <f t="shared" ca="1" si="2"/>
        <v/>
      </c>
      <c r="AE3" t="str">
        <f t="shared" ca="1" si="2"/>
        <v/>
      </c>
      <c r="AF3" t="str">
        <f t="shared" ca="1" si="2"/>
        <v/>
      </c>
      <c r="AG3" t="str">
        <f t="shared" ca="1" si="2"/>
        <v/>
      </c>
      <c r="AH3" t="str">
        <f t="shared" ca="1" si="2"/>
        <v/>
      </c>
    </row>
    <row r="5" spans="2:38" ht="26" x14ac:dyDescent="0.35">
      <c r="H5" s="5" t="str">
        <f>TEXT(H6,"ddd")</f>
        <v>Sun</v>
      </c>
      <c r="I5" s="5" t="str">
        <f t="shared" ref="I5:AJ5" si="3">TEXT(I6,"ddd")</f>
        <v>Tue</v>
      </c>
      <c r="J5" s="5" t="str">
        <f t="shared" si="3"/>
        <v>Wed</v>
      </c>
      <c r="K5" s="5" t="str">
        <f t="shared" si="3"/>
        <v>Thu</v>
      </c>
      <c r="L5" s="5" t="str">
        <f t="shared" si="3"/>
        <v>Fri</v>
      </c>
      <c r="M5" s="5" t="str">
        <f t="shared" si="3"/>
        <v>Sat</v>
      </c>
      <c r="N5" s="5" t="str">
        <f t="shared" si="3"/>
        <v>Sun</v>
      </c>
      <c r="O5" s="5" t="str">
        <f t="shared" si="3"/>
        <v>Tue</v>
      </c>
      <c r="P5" s="5" t="str">
        <f t="shared" si="3"/>
        <v>Wed</v>
      </c>
      <c r="Q5" s="5" t="str">
        <f t="shared" si="3"/>
        <v>Thu</v>
      </c>
      <c r="R5" s="5" t="str">
        <f t="shared" si="3"/>
        <v>Fri</v>
      </c>
      <c r="S5" s="5" t="str">
        <f t="shared" si="3"/>
        <v>Sat</v>
      </c>
      <c r="T5" s="5" t="str">
        <f t="shared" si="3"/>
        <v>Sun</v>
      </c>
      <c r="U5" s="5" t="str">
        <f t="shared" si="3"/>
        <v>Tue</v>
      </c>
      <c r="V5" s="5" t="str">
        <f t="shared" si="3"/>
        <v>Wed</v>
      </c>
      <c r="W5" s="5" t="str">
        <f t="shared" si="3"/>
        <v>Thu</v>
      </c>
      <c r="X5" s="5" t="str">
        <f t="shared" si="3"/>
        <v>Fri</v>
      </c>
      <c r="Y5" s="5" t="str">
        <f t="shared" si="3"/>
        <v>Sat</v>
      </c>
      <c r="Z5" s="5" t="str">
        <f t="shared" si="3"/>
        <v>Sun</v>
      </c>
      <c r="AA5" s="5" t="str">
        <f t="shared" si="3"/>
        <v>Tue</v>
      </c>
      <c r="AB5" s="5" t="str">
        <f t="shared" si="3"/>
        <v>Wed</v>
      </c>
      <c r="AC5" s="5" t="str">
        <f t="shared" si="3"/>
        <v>Thu</v>
      </c>
      <c r="AD5" s="5" t="str">
        <f t="shared" si="3"/>
        <v>Fri</v>
      </c>
      <c r="AE5" s="5" t="str">
        <f t="shared" si="3"/>
        <v>Sat</v>
      </c>
      <c r="AF5" s="5" t="str">
        <f t="shared" si="3"/>
        <v>Sun</v>
      </c>
      <c r="AG5" s="5" t="str">
        <f t="shared" si="3"/>
        <v>Tue</v>
      </c>
      <c r="AH5" s="5" t="str">
        <f t="shared" si="3"/>
        <v/>
      </c>
      <c r="AI5" t="str">
        <f t="shared" si="3"/>
        <v/>
      </c>
      <c r="AJ5" t="str">
        <f t="shared" si="3"/>
        <v/>
      </c>
    </row>
    <row r="6" spans="2:38" x14ac:dyDescent="0.35">
      <c r="B6" s="21" t="s">
        <v>0</v>
      </c>
      <c r="C6" s="21"/>
      <c r="D6" s="21"/>
      <c r="F6" t="s">
        <v>1</v>
      </c>
      <c r="G6" t="s">
        <v>2</v>
      </c>
      <c r="H6" s="4">
        <f>IF(TEXT(B1,"dddd")=D12,B1+1,B1)</f>
        <v>46082</v>
      </c>
      <c r="I6" s="4">
        <f>IFERROR(IF(IF(TEXT(H6+1,"dddd")=$D$12,H6+2,H6+1)&lt;=$D$1,IF(TEXT(H6+1,"dddd")=$D$12,H6+2,H6+1),""),"")</f>
        <v>46084</v>
      </c>
      <c r="J6" s="4">
        <f t="shared" ref="J6:AJ6" si="4">IFERROR(IF(IF(TEXT(I6+1,"dddd")=$D$12,I6+2,I6+1)&lt;=$D$1,IF(TEXT(I6+1,"dddd")=$D$12,I6+2,I6+1),""),"")</f>
        <v>46085</v>
      </c>
      <c r="K6" s="4">
        <f t="shared" si="4"/>
        <v>46086</v>
      </c>
      <c r="L6" s="4">
        <f t="shared" si="4"/>
        <v>46087</v>
      </c>
      <c r="M6" s="4">
        <f t="shared" si="4"/>
        <v>46088</v>
      </c>
      <c r="N6" s="4">
        <f t="shared" si="4"/>
        <v>46089</v>
      </c>
      <c r="O6" s="4">
        <f t="shared" si="4"/>
        <v>46091</v>
      </c>
      <c r="P6" s="4">
        <f t="shared" si="4"/>
        <v>46092</v>
      </c>
      <c r="Q6" s="4">
        <f t="shared" si="4"/>
        <v>46093</v>
      </c>
      <c r="R6" s="4">
        <f t="shared" si="4"/>
        <v>46094</v>
      </c>
      <c r="S6" s="4">
        <f t="shared" si="4"/>
        <v>46095</v>
      </c>
      <c r="T6" s="4">
        <f t="shared" si="4"/>
        <v>46096</v>
      </c>
      <c r="U6" s="4">
        <f t="shared" si="4"/>
        <v>46098</v>
      </c>
      <c r="V6" s="4">
        <f t="shared" si="4"/>
        <v>46099</v>
      </c>
      <c r="W6" s="4">
        <f t="shared" si="4"/>
        <v>46100</v>
      </c>
      <c r="X6" s="4">
        <f t="shared" si="4"/>
        <v>46101</v>
      </c>
      <c r="Y6" s="4">
        <f t="shared" si="4"/>
        <v>46102</v>
      </c>
      <c r="Z6" s="4">
        <f t="shared" si="4"/>
        <v>46103</v>
      </c>
      <c r="AA6" s="4">
        <f t="shared" si="4"/>
        <v>46105</v>
      </c>
      <c r="AB6" s="4">
        <f t="shared" si="4"/>
        <v>46106</v>
      </c>
      <c r="AC6" s="4">
        <f t="shared" si="4"/>
        <v>46107</v>
      </c>
      <c r="AD6" s="4">
        <f t="shared" si="4"/>
        <v>46108</v>
      </c>
      <c r="AE6" s="4">
        <f t="shared" si="4"/>
        <v>46109</v>
      </c>
      <c r="AF6" s="4">
        <f t="shared" si="4"/>
        <v>46110</v>
      </c>
      <c r="AG6" s="4">
        <f t="shared" si="4"/>
        <v>46112</v>
      </c>
      <c r="AH6" s="4" t="str">
        <f t="shared" si="4"/>
        <v/>
      </c>
      <c r="AI6" s="3" t="str">
        <f t="shared" si="4"/>
        <v/>
      </c>
      <c r="AJ6" s="3" t="str">
        <f t="shared" si="4"/>
        <v/>
      </c>
    </row>
    <row r="7" spans="2:38" x14ac:dyDescent="0.35">
      <c r="F7" t="s">
        <v>62</v>
      </c>
      <c r="G7" t="s">
        <v>63</v>
      </c>
      <c r="H7" s="13" t="s">
        <v>51</v>
      </c>
      <c r="I7" s="13" t="s">
        <v>51</v>
      </c>
      <c r="J7" s="13" t="s">
        <v>51</v>
      </c>
      <c r="K7" s="13" t="s">
        <v>51</v>
      </c>
      <c r="L7" s="13" t="s">
        <v>51</v>
      </c>
      <c r="M7" s="13"/>
      <c r="N7" s="13" t="s">
        <v>51</v>
      </c>
      <c r="O7" s="13" t="s">
        <v>51</v>
      </c>
      <c r="P7" s="13" t="s">
        <v>51</v>
      </c>
      <c r="Q7" s="13" t="s">
        <v>51</v>
      </c>
      <c r="R7" s="13" t="s">
        <v>51</v>
      </c>
      <c r="S7" s="13"/>
      <c r="T7" s="13" t="s">
        <v>52</v>
      </c>
      <c r="U7" s="13" t="s">
        <v>51</v>
      </c>
      <c r="V7" s="13" t="s">
        <v>53</v>
      </c>
      <c r="W7" s="13" t="s">
        <v>52</v>
      </c>
      <c r="X7" s="13" t="s">
        <v>51</v>
      </c>
      <c r="Y7" s="13"/>
      <c r="Z7" s="13" t="s">
        <v>53</v>
      </c>
      <c r="AA7" s="13" t="s">
        <v>53</v>
      </c>
      <c r="AB7" s="13" t="s">
        <v>52</v>
      </c>
      <c r="AC7" s="13" t="s">
        <v>52</v>
      </c>
      <c r="AD7" s="13" t="s">
        <v>51</v>
      </c>
      <c r="AE7" s="13"/>
      <c r="AF7" s="13" t="s">
        <v>51</v>
      </c>
      <c r="AG7" s="13" t="s">
        <v>52</v>
      </c>
      <c r="AH7" s="13" t="s">
        <v>53</v>
      </c>
      <c r="AJ7" s="13" t="s">
        <v>54</v>
      </c>
      <c r="AK7" s="13" t="s">
        <v>55</v>
      </c>
      <c r="AL7" s="13" t="s">
        <v>56</v>
      </c>
    </row>
    <row r="8" spans="2:38" x14ac:dyDescent="0.35">
      <c r="B8" s="1" t="s">
        <v>3</v>
      </c>
      <c r="C8" s="1"/>
      <c r="D8" s="16" t="s">
        <v>28</v>
      </c>
      <c r="E8" s="18"/>
      <c r="F8" t="s">
        <v>64</v>
      </c>
      <c r="G8" t="s">
        <v>65</v>
      </c>
      <c r="H8" s="13" t="s">
        <v>51</v>
      </c>
      <c r="I8" s="13" t="s">
        <v>51</v>
      </c>
      <c r="J8" s="13" t="s">
        <v>51</v>
      </c>
      <c r="K8" s="13" t="s">
        <v>51</v>
      </c>
      <c r="L8" s="13" t="s">
        <v>51</v>
      </c>
      <c r="M8" s="13"/>
      <c r="N8" s="13" t="s">
        <v>51</v>
      </c>
      <c r="O8" s="13" t="s">
        <v>51</v>
      </c>
      <c r="P8" s="13" t="s">
        <v>51</v>
      </c>
      <c r="Q8" s="13" t="s">
        <v>51</v>
      </c>
      <c r="R8" s="13" t="s">
        <v>51</v>
      </c>
      <c r="S8" s="13"/>
      <c r="T8" s="13" t="s">
        <v>52</v>
      </c>
      <c r="U8" s="13" t="s">
        <v>51</v>
      </c>
      <c r="V8" s="13" t="s">
        <v>53</v>
      </c>
      <c r="W8" s="13" t="s">
        <v>52</v>
      </c>
      <c r="X8" s="13" t="s">
        <v>51</v>
      </c>
      <c r="Y8" s="13"/>
      <c r="Z8" s="13" t="s">
        <v>53</v>
      </c>
      <c r="AA8" s="13" t="s">
        <v>53</v>
      </c>
      <c r="AB8" s="13" t="s">
        <v>52</v>
      </c>
      <c r="AC8" s="13" t="s">
        <v>52</v>
      </c>
      <c r="AD8" s="13" t="s">
        <v>51</v>
      </c>
      <c r="AE8" s="13"/>
      <c r="AF8" s="13" t="s">
        <v>51</v>
      </c>
      <c r="AG8" s="13" t="s">
        <v>52</v>
      </c>
      <c r="AH8" s="13" t="s">
        <v>53</v>
      </c>
      <c r="AJ8">
        <f>COUNTIF(H7:AH7,"A")</f>
        <v>5</v>
      </c>
      <c r="AK8">
        <f>COUNTIF(H7:AH7,"P")</f>
        <v>14</v>
      </c>
      <c r="AL8">
        <f>COUNTIF(H7:AH7,"H")</f>
        <v>4</v>
      </c>
    </row>
    <row r="9" spans="2:38" x14ac:dyDescent="0.35">
      <c r="D9" s="17"/>
      <c r="E9" s="18"/>
      <c r="F9" t="s">
        <v>66</v>
      </c>
      <c r="G9" t="s">
        <v>67</v>
      </c>
      <c r="H9" s="13" t="s">
        <v>51</v>
      </c>
      <c r="I9" s="13" t="s">
        <v>51</v>
      </c>
      <c r="J9" s="13" t="s">
        <v>52</v>
      </c>
      <c r="K9" s="13" t="s">
        <v>52</v>
      </c>
      <c r="L9" s="13" t="s">
        <v>51</v>
      </c>
      <c r="M9" s="13"/>
      <c r="N9" s="13" t="s">
        <v>52</v>
      </c>
      <c r="O9" s="13" t="s">
        <v>51</v>
      </c>
      <c r="P9" s="13" t="s">
        <v>51</v>
      </c>
      <c r="Q9" s="13" t="s">
        <v>51</v>
      </c>
      <c r="R9" s="13" t="s">
        <v>51</v>
      </c>
      <c r="S9" s="13"/>
      <c r="T9" s="13" t="s">
        <v>52</v>
      </c>
      <c r="U9" s="13" t="s">
        <v>51</v>
      </c>
      <c r="V9" s="13" t="s">
        <v>53</v>
      </c>
      <c r="W9" s="13" t="s">
        <v>52</v>
      </c>
      <c r="X9" s="13" t="s">
        <v>51</v>
      </c>
      <c r="Y9" s="13"/>
      <c r="Z9" s="13" t="s">
        <v>53</v>
      </c>
      <c r="AA9" s="13" t="s">
        <v>53</v>
      </c>
      <c r="AB9" s="13" t="s">
        <v>51</v>
      </c>
      <c r="AC9" s="13" t="s">
        <v>52</v>
      </c>
      <c r="AD9" s="13" t="s">
        <v>51</v>
      </c>
      <c r="AE9" s="13"/>
      <c r="AF9" s="13" t="s">
        <v>51</v>
      </c>
      <c r="AG9" s="13" t="s">
        <v>52</v>
      </c>
      <c r="AH9" s="13" t="s">
        <v>53</v>
      </c>
    </row>
    <row r="10" spans="2:38" x14ac:dyDescent="0.35">
      <c r="B10" s="1" t="s">
        <v>57</v>
      </c>
      <c r="C10" s="1"/>
      <c r="D10" s="16">
        <v>2026</v>
      </c>
      <c r="E10" s="18"/>
      <c r="F10" t="s">
        <v>68</v>
      </c>
      <c r="G10" t="s">
        <v>69</v>
      </c>
      <c r="H10" s="13" t="s">
        <v>51</v>
      </c>
      <c r="I10" s="13" t="s">
        <v>51</v>
      </c>
      <c r="J10" s="13" t="s">
        <v>51</v>
      </c>
      <c r="K10" s="13" t="s">
        <v>52</v>
      </c>
      <c r="L10" s="13" t="s">
        <v>53</v>
      </c>
      <c r="M10" s="13"/>
      <c r="N10" s="13" t="s">
        <v>52</v>
      </c>
      <c r="O10" s="13" t="s">
        <v>51</v>
      </c>
      <c r="P10" s="13" t="s">
        <v>51</v>
      </c>
      <c r="Q10" s="13" t="s">
        <v>51</v>
      </c>
      <c r="R10" s="13" t="s">
        <v>51</v>
      </c>
      <c r="S10" s="13"/>
      <c r="T10" s="13" t="s">
        <v>51</v>
      </c>
      <c r="U10" s="13" t="s">
        <v>51</v>
      </c>
      <c r="V10" s="13" t="s">
        <v>53</v>
      </c>
      <c r="W10" s="13" t="s">
        <v>52</v>
      </c>
      <c r="X10" s="13" t="s">
        <v>51</v>
      </c>
      <c r="Y10" s="13"/>
      <c r="Z10" s="13" t="s">
        <v>53</v>
      </c>
      <c r="AA10" s="13" t="s">
        <v>53</v>
      </c>
      <c r="AB10" s="13" t="s">
        <v>51</v>
      </c>
      <c r="AC10" s="13" t="s">
        <v>52</v>
      </c>
      <c r="AD10" s="13" t="s">
        <v>51</v>
      </c>
      <c r="AE10" s="13"/>
      <c r="AF10" s="13" t="s">
        <v>51</v>
      </c>
      <c r="AG10" s="13" t="s">
        <v>51</v>
      </c>
      <c r="AH10" s="13" t="s">
        <v>53</v>
      </c>
    </row>
    <row r="11" spans="2:38" x14ac:dyDescent="0.35">
      <c r="D11" s="17"/>
      <c r="E11" s="18"/>
      <c r="F11" t="s">
        <v>70</v>
      </c>
      <c r="G11" t="s">
        <v>71</v>
      </c>
      <c r="H11" s="13" t="s">
        <v>51</v>
      </c>
      <c r="I11" s="13" t="s">
        <v>51</v>
      </c>
      <c r="J11" s="13" t="s">
        <v>51</v>
      </c>
      <c r="K11" s="13" t="s">
        <v>52</v>
      </c>
      <c r="L11" s="13" t="s">
        <v>53</v>
      </c>
      <c r="M11" s="13"/>
      <c r="N11" s="13" t="s">
        <v>51</v>
      </c>
      <c r="O11" s="13" t="s">
        <v>51</v>
      </c>
      <c r="P11" s="13" t="s">
        <v>51</v>
      </c>
      <c r="Q11" s="13" t="s">
        <v>51</v>
      </c>
      <c r="R11" s="13" t="s">
        <v>51</v>
      </c>
      <c r="S11" s="13"/>
      <c r="T11" s="13" t="s">
        <v>52</v>
      </c>
      <c r="U11" s="13" t="s">
        <v>51</v>
      </c>
      <c r="V11" s="13" t="s">
        <v>53</v>
      </c>
      <c r="W11" s="13" t="s">
        <v>52</v>
      </c>
      <c r="X11" s="13" t="s">
        <v>51</v>
      </c>
      <c r="Y11" s="13"/>
      <c r="Z11" s="13" t="s">
        <v>53</v>
      </c>
      <c r="AA11" s="13" t="s">
        <v>53</v>
      </c>
      <c r="AB11" s="13" t="s">
        <v>51</v>
      </c>
      <c r="AC11" s="13" t="s">
        <v>52</v>
      </c>
      <c r="AD11" s="13" t="s">
        <v>51</v>
      </c>
      <c r="AE11" s="13"/>
      <c r="AF11" s="13" t="s">
        <v>51</v>
      </c>
      <c r="AG11" s="13" t="s">
        <v>51</v>
      </c>
      <c r="AH11" s="13" t="s">
        <v>53</v>
      </c>
    </row>
    <row r="12" spans="2:38" x14ac:dyDescent="0.35">
      <c r="B12" s="1" t="s">
        <v>58</v>
      </c>
      <c r="C12" s="1"/>
      <c r="D12" s="16" t="s">
        <v>20</v>
      </c>
      <c r="E12" s="18"/>
      <c r="F12" t="s">
        <v>72</v>
      </c>
      <c r="G12" t="s">
        <v>73</v>
      </c>
      <c r="H12" s="13" t="s">
        <v>51</v>
      </c>
      <c r="I12" s="13" t="s">
        <v>53</v>
      </c>
      <c r="J12" s="13" t="s">
        <v>51</v>
      </c>
      <c r="K12" s="13" t="s">
        <v>52</v>
      </c>
      <c r="L12" s="13" t="s">
        <v>53</v>
      </c>
      <c r="M12" s="13"/>
      <c r="N12" s="13" t="s">
        <v>51</v>
      </c>
      <c r="O12" s="13" t="s">
        <v>51</v>
      </c>
      <c r="P12" s="13" t="s">
        <v>52</v>
      </c>
      <c r="Q12" s="13" t="s">
        <v>51</v>
      </c>
      <c r="R12" s="13" t="s">
        <v>51</v>
      </c>
      <c r="S12" s="13"/>
      <c r="T12" s="13" t="s">
        <v>52</v>
      </c>
      <c r="U12" s="13" t="s">
        <v>51</v>
      </c>
      <c r="V12" s="13" t="s">
        <v>53</v>
      </c>
      <c r="W12" s="13" t="s">
        <v>52</v>
      </c>
      <c r="X12" s="13" t="s">
        <v>51</v>
      </c>
      <c r="Y12" s="13"/>
      <c r="Z12" s="13" t="s">
        <v>53</v>
      </c>
      <c r="AA12" s="13" t="s">
        <v>53</v>
      </c>
      <c r="AB12" s="13" t="s">
        <v>51</v>
      </c>
      <c r="AC12" s="13" t="s">
        <v>52</v>
      </c>
      <c r="AD12" s="13" t="s">
        <v>51</v>
      </c>
      <c r="AE12" s="13"/>
      <c r="AF12" s="13" t="s">
        <v>53</v>
      </c>
      <c r="AG12" s="13" t="s">
        <v>51</v>
      </c>
      <c r="AH12" s="13" t="s">
        <v>53</v>
      </c>
    </row>
    <row r="13" spans="2:38" x14ac:dyDescent="0.35">
      <c r="F13" t="s">
        <v>74</v>
      </c>
      <c r="G13" t="s">
        <v>75</v>
      </c>
      <c r="H13" s="13" t="s">
        <v>51</v>
      </c>
      <c r="I13" s="13" t="s">
        <v>51</v>
      </c>
      <c r="J13" s="13" t="s">
        <v>51</v>
      </c>
      <c r="K13" s="13" t="s">
        <v>52</v>
      </c>
      <c r="L13" s="13" t="s">
        <v>53</v>
      </c>
      <c r="M13" s="13"/>
      <c r="N13" s="13" t="s">
        <v>51</v>
      </c>
      <c r="O13" s="13" t="s">
        <v>51</v>
      </c>
      <c r="P13" s="13" t="s">
        <v>51</v>
      </c>
      <c r="Q13" s="13" t="s">
        <v>51</v>
      </c>
      <c r="R13" s="13" t="s">
        <v>51</v>
      </c>
      <c r="S13" s="13"/>
      <c r="T13" s="13" t="s">
        <v>52</v>
      </c>
      <c r="U13" s="13" t="s">
        <v>51</v>
      </c>
      <c r="V13" s="13" t="s">
        <v>53</v>
      </c>
      <c r="W13" s="13" t="s">
        <v>52</v>
      </c>
      <c r="X13" s="13" t="s">
        <v>51</v>
      </c>
      <c r="Y13" s="13"/>
      <c r="Z13" s="13" t="s">
        <v>53</v>
      </c>
      <c r="AA13" s="13" t="s">
        <v>53</v>
      </c>
      <c r="AB13" s="13" t="s">
        <v>52</v>
      </c>
      <c r="AC13" s="13" t="s">
        <v>51</v>
      </c>
      <c r="AD13" s="13" t="s">
        <v>51</v>
      </c>
      <c r="AE13" s="13"/>
      <c r="AF13" s="13" t="s">
        <v>53</v>
      </c>
      <c r="AG13" s="13" t="s">
        <v>52</v>
      </c>
      <c r="AH13" s="13" t="s">
        <v>53</v>
      </c>
    </row>
    <row r="14" spans="2:38" x14ac:dyDescent="0.35">
      <c r="B14" s="1" t="s">
        <v>59</v>
      </c>
      <c r="C14" s="1"/>
      <c r="D14" s="1"/>
      <c r="F14" t="s">
        <v>76</v>
      </c>
      <c r="G14" t="s">
        <v>77</v>
      </c>
      <c r="H14" s="13" t="s">
        <v>52</v>
      </c>
      <c r="I14" s="13" t="s">
        <v>51</v>
      </c>
      <c r="J14" s="13" t="s">
        <v>51</v>
      </c>
      <c r="K14" s="13" t="s">
        <v>52</v>
      </c>
      <c r="L14" s="13" t="s">
        <v>53</v>
      </c>
      <c r="M14" s="13"/>
      <c r="N14" s="13" t="s">
        <v>51</v>
      </c>
      <c r="O14" s="13" t="s">
        <v>53</v>
      </c>
      <c r="P14" s="13" t="s">
        <v>51</v>
      </c>
      <c r="Q14" s="13" t="s">
        <v>51</v>
      </c>
      <c r="R14" s="13" t="s">
        <v>51</v>
      </c>
      <c r="S14" s="13"/>
      <c r="T14" s="13" t="s">
        <v>51</v>
      </c>
      <c r="U14" s="13" t="s">
        <v>51</v>
      </c>
      <c r="V14" s="13" t="s">
        <v>53</v>
      </c>
      <c r="W14" s="13" t="s">
        <v>52</v>
      </c>
      <c r="X14" s="13" t="s">
        <v>51</v>
      </c>
      <c r="Y14" s="13"/>
      <c r="Z14" s="13" t="s">
        <v>53</v>
      </c>
      <c r="AA14" s="13" t="s">
        <v>52</v>
      </c>
      <c r="AB14" s="13" t="s">
        <v>52</v>
      </c>
      <c r="AC14" s="13" t="s">
        <v>52</v>
      </c>
      <c r="AD14" s="13" t="s">
        <v>51</v>
      </c>
      <c r="AE14" s="13"/>
      <c r="AF14" s="13" t="s">
        <v>53</v>
      </c>
      <c r="AG14" s="13" t="s">
        <v>52</v>
      </c>
      <c r="AH14" s="13" t="s">
        <v>53</v>
      </c>
    </row>
    <row r="15" spans="2:38" x14ac:dyDescent="0.35">
      <c r="B15" s="1" t="s">
        <v>60</v>
      </c>
      <c r="C15" s="1"/>
      <c r="D15" s="1"/>
      <c r="F15" t="s">
        <v>78</v>
      </c>
      <c r="G15" t="s">
        <v>79</v>
      </c>
      <c r="H15" s="13" t="s">
        <v>51</v>
      </c>
      <c r="I15" s="13" t="s">
        <v>51</v>
      </c>
      <c r="J15" s="13" t="s">
        <v>53</v>
      </c>
      <c r="K15" s="13" t="s">
        <v>51</v>
      </c>
      <c r="L15" s="13" t="s">
        <v>51</v>
      </c>
      <c r="M15" s="13"/>
      <c r="N15" s="13" t="s">
        <v>52</v>
      </c>
      <c r="O15" s="13" t="s">
        <v>51</v>
      </c>
      <c r="P15" s="13" t="s">
        <v>51</v>
      </c>
      <c r="Q15" s="13" t="s">
        <v>51</v>
      </c>
      <c r="R15" s="13" t="s">
        <v>51</v>
      </c>
      <c r="S15" s="13"/>
      <c r="T15" s="13" t="s">
        <v>52</v>
      </c>
      <c r="U15" s="13" t="s">
        <v>51</v>
      </c>
      <c r="V15" s="13" t="s">
        <v>53</v>
      </c>
      <c r="W15" s="13" t="s">
        <v>52</v>
      </c>
      <c r="X15" s="13" t="s">
        <v>51</v>
      </c>
      <c r="Y15" s="13"/>
      <c r="Z15" s="13" t="s">
        <v>53</v>
      </c>
      <c r="AA15" s="13" t="s">
        <v>53</v>
      </c>
      <c r="AB15" s="13" t="s">
        <v>52</v>
      </c>
      <c r="AC15" s="13" t="s">
        <v>51</v>
      </c>
      <c r="AD15" s="13" t="s">
        <v>51</v>
      </c>
      <c r="AE15" s="13"/>
      <c r="AF15" s="13" t="s">
        <v>53</v>
      </c>
      <c r="AG15" s="13" t="s">
        <v>52</v>
      </c>
      <c r="AH15" s="13" t="s">
        <v>53</v>
      </c>
    </row>
    <row r="16" spans="2:38" x14ac:dyDescent="0.35">
      <c r="B16" s="1" t="s">
        <v>61</v>
      </c>
      <c r="C16" s="1"/>
      <c r="D16" s="1"/>
      <c r="F16" t="s">
        <v>80</v>
      </c>
      <c r="G16" t="s">
        <v>81</v>
      </c>
      <c r="H16" s="13" t="s">
        <v>51</v>
      </c>
      <c r="I16" s="13" t="s">
        <v>51</v>
      </c>
      <c r="J16" s="13" t="s">
        <v>51</v>
      </c>
      <c r="K16" s="13" t="s">
        <v>51</v>
      </c>
      <c r="L16" s="13" t="s">
        <v>51</v>
      </c>
      <c r="M16" s="13"/>
      <c r="N16" s="13" t="s">
        <v>51</v>
      </c>
      <c r="O16" s="13" t="s">
        <v>51</v>
      </c>
      <c r="P16" s="13" t="s">
        <v>51</v>
      </c>
      <c r="Q16" s="13" t="s">
        <v>53</v>
      </c>
      <c r="R16" s="13" t="s">
        <v>51</v>
      </c>
      <c r="S16" s="13"/>
      <c r="T16" s="13" t="s">
        <v>52</v>
      </c>
      <c r="U16" s="13" t="s">
        <v>51</v>
      </c>
      <c r="V16" s="13" t="s">
        <v>53</v>
      </c>
      <c r="W16" s="13" t="s">
        <v>52</v>
      </c>
      <c r="X16" s="13" t="s">
        <v>51</v>
      </c>
      <c r="Y16" s="13"/>
      <c r="Z16" s="13" t="s">
        <v>53</v>
      </c>
      <c r="AA16" s="13" t="s">
        <v>53</v>
      </c>
      <c r="AB16" s="13" t="s">
        <v>52</v>
      </c>
      <c r="AC16" s="13" t="s">
        <v>52</v>
      </c>
      <c r="AD16" s="13" t="s">
        <v>51</v>
      </c>
      <c r="AE16" s="13"/>
      <c r="AF16" s="13" t="s">
        <v>53</v>
      </c>
      <c r="AG16" s="13" t="s">
        <v>52</v>
      </c>
      <c r="AH16" s="13" t="s">
        <v>53</v>
      </c>
    </row>
    <row r="17" spans="2:34" x14ac:dyDescent="0.35">
      <c r="F17" t="s">
        <v>82</v>
      </c>
      <c r="G17" t="s">
        <v>63</v>
      </c>
      <c r="H17" s="13" t="s">
        <v>51</v>
      </c>
      <c r="I17" s="13" t="s">
        <v>51</v>
      </c>
      <c r="J17" s="13" t="s">
        <v>51</v>
      </c>
      <c r="K17" s="13" t="s">
        <v>51</v>
      </c>
      <c r="L17" s="13" t="s">
        <v>51</v>
      </c>
      <c r="M17" s="13"/>
      <c r="N17" s="13" t="s">
        <v>51</v>
      </c>
      <c r="O17" s="13" t="s">
        <v>53</v>
      </c>
      <c r="P17" s="13" t="s">
        <v>51</v>
      </c>
      <c r="Q17" s="13" t="s">
        <v>51</v>
      </c>
      <c r="R17" s="13" t="s">
        <v>51</v>
      </c>
      <c r="S17" s="13"/>
      <c r="T17" s="13" t="s">
        <v>52</v>
      </c>
      <c r="U17" s="13" t="s">
        <v>51</v>
      </c>
      <c r="V17" s="13" t="s">
        <v>53</v>
      </c>
      <c r="W17" s="13" t="s">
        <v>52</v>
      </c>
      <c r="X17" s="13" t="s">
        <v>51</v>
      </c>
      <c r="Y17" s="13"/>
      <c r="Z17" s="13" t="s">
        <v>53</v>
      </c>
      <c r="AA17" s="13" t="s">
        <v>53</v>
      </c>
      <c r="AB17" s="13" t="s">
        <v>52</v>
      </c>
      <c r="AC17" s="13" t="s">
        <v>51</v>
      </c>
      <c r="AD17" s="13" t="s">
        <v>51</v>
      </c>
      <c r="AE17" s="13"/>
      <c r="AF17" s="13" t="s">
        <v>51</v>
      </c>
      <c r="AG17" s="13" t="s">
        <v>52</v>
      </c>
      <c r="AH17" s="13" t="s">
        <v>53</v>
      </c>
    </row>
    <row r="18" spans="2:34" x14ac:dyDescent="0.35">
      <c r="B18" s="15" t="s">
        <v>14</v>
      </c>
      <c r="D18" s="15" t="s">
        <v>55</v>
      </c>
      <c r="F18" t="s">
        <v>83</v>
      </c>
      <c r="G18" t="s">
        <v>84</v>
      </c>
      <c r="H18" s="13" t="s">
        <v>51</v>
      </c>
      <c r="I18" s="13" t="s">
        <v>51</v>
      </c>
      <c r="J18" s="13" t="s">
        <v>51</v>
      </c>
      <c r="K18" s="13" t="s">
        <v>51</v>
      </c>
      <c r="L18" s="13" t="s">
        <v>51</v>
      </c>
      <c r="M18" s="13"/>
      <c r="N18" s="13" t="s">
        <v>51</v>
      </c>
      <c r="O18" s="13" t="s">
        <v>51</v>
      </c>
      <c r="P18" s="13" t="s">
        <v>51</v>
      </c>
      <c r="Q18" s="13" t="s">
        <v>51</v>
      </c>
      <c r="R18" s="13" t="s">
        <v>51</v>
      </c>
      <c r="S18" s="13"/>
      <c r="T18" s="13" t="s">
        <v>52</v>
      </c>
      <c r="U18" s="13" t="s">
        <v>51</v>
      </c>
      <c r="V18" s="13" t="s">
        <v>53</v>
      </c>
      <c r="W18" s="13" t="s">
        <v>52</v>
      </c>
      <c r="X18" s="13" t="s">
        <v>51</v>
      </c>
      <c r="Y18" s="13"/>
      <c r="Z18" s="13" t="s">
        <v>53</v>
      </c>
      <c r="AA18" s="13" t="s">
        <v>53</v>
      </c>
      <c r="AB18" s="13" t="s">
        <v>52</v>
      </c>
      <c r="AC18" s="13" t="s">
        <v>52</v>
      </c>
      <c r="AD18" s="13" t="s">
        <v>51</v>
      </c>
      <c r="AE18" s="13"/>
      <c r="AF18" s="13" t="s">
        <v>51</v>
      </c>
      <c r="AG18" s="13" t="s">
        <v>52</v>
      </c>
      <c r="AH18" s="13" t="s">
        <v>53</v>
      </c>
    </row>
    <row r="19" spans="2:34" x14ac:dyDescent="0.35">
      <c r="B19" s="22">
        <f>COUNTA(F7:F30)</f>
        <v>24</v>
      </c>
      <c r="D19" s="22">
        <f ca="1">SUM(H1:AH1)</f>
        <v>23</v>
      </c>
      <c r="F19" t="s">
        <v>85</v>
      </c>
      <c r="G19" t="s">
        <v>86</v>
      </c>
      <c r="H19" s="13" t="s">
        <v>51</v>
      </c>
      <c r="I19" s="13" t="s">
        <v>51</v>
      </c>
      <c r="J19" s="13" t="s">
        <v>51</v>
      </c>
      <c r="K19" s="13" t="s">
        <v>51</v>
      </c>
      <c r="L19" s="13" t="s">
        <v>51</v>
      </c>
      <c r="M19" s="13"/>
      <c r="N19" s="13" t="s">
        <v>51</v>
      </c>
      <c r="O19" s="13" t="s">
        <v>51</v>
      </c>
      <c r="P19" s="13" t="s">
        <v>51</v>
      </c>
      <c r="Q19" s="13" t="s">
        <v>51</v>
      </c>
      <c r="R19" s="13" t="s">
        <v>51</v>
      </c>
      <c r="S19" s="13"/>
      <c r="T19" s="13" t="s">
        <v>52</v>
      </c>
      <c r="U19" s="13" t="s">
        <v>51</v>
      </c>
      <c r="V19" s="13" t="s">
        <v>53</v>
      </c>
      <c r="W19" s="13" t="s">
        <v>52</v>
      </c>
      <c r="X19" s="13" t="s">
        <v>51</v>
      </c>
      <c r="Y19" s="13"/>
      <c r="Z19" s="13" t="s">
        <v>53</v>
      </c>
      <c r="AA19" s="13" t="s">
        <v>53</v>
      </c>
      <c r="AB19" s="13" t="s">
        <v>52</v>
      </c>
      <c r="AC19" s="13" t="s">
        <v>52</v>
      </c>
      <c r="AD19" s="13" t="s">
        <v>51</v>
      </c>
      <c r="AE19" s="13"/>
      <c r="AF19" s="13" t="s">
        <v>51</v>
      </c>
      <c r="AG19" s="13" t="s">
        <v>52</v>
      </c>
      <c r="AH19" s="13" t="s">
        <v>53</v>
      </c>
    </row>
    <row r="20" spans="2:34" x14ac:dyDescent="0.35">
      <c r="B20" s="22"/>
      <c r="D20" s="22"/>
      <c r="F20" t="s">
        <v>87</v>
      </c>
      <c r="G20" t="s">
        <v>88</v>
      </c>
      <c r="H20" s="13" t="s">
        <v>51</v>
      </c>
      <c r="I20" s="13" t="s">
        <v>51</v>
      </c>
      <c r="J20" s="13" t="s">
        <v>51</v>
      </c>
      <c r="K20" s="13" t="s">
        <v>51</v>
      </c>
      <c r="L20" s="13" t="s">
        <v>51</v>
      </c>
      <c r="M20" s="13"/>
      <c r="N20" s="13" t="s">
        <v>51</v>
      </c>
      <c r="O20" s="13" t="s">
        <v>53</v>
      </c>
      <c r="P20" s="13" t="s">
        <v>51</v>
      </c>
      <c r="Q20" s="13" t="s">
        <v>51</v>
      </c>
      <c r="R20" s="13" t="s">
        <v>51</v>
      </c>
      <c r="S20" s="13"/>
      <c r="T20" s="13" t="s">
        <v>52</v>
      </c>
      <c r="U20" s="13" t="s">
        <v>51</v>
      </c>
      <c r="V20" s="13" t="s">
        <v>53</v>
      </c>
      <c r="W20" s="13" t="s">
        <v>52</v>
      </c>
      <c r="X20" s="13" t="s">
        <v>51</v>
      </c>
      <c r="Y20" s="13"/>
      <c r="Z20" s="13" t="s">
        <v>53</v>
      </c>
      <c r="AA20" s="13" t="s">
        <v>53</v>
      </c>
      <c r="AB20" s="13" t="s">
        <v>52</v>
      </c>
      <c r="AC20" s="13" t="s">
        <v>52</v>
      </c>
      <c r="AD20" s="13" t="s">
        <v>51</v>
      </c>
      <c r="AE20" s="13"/>
      <c r="AF20" s="13" t="s">
        <v>51</v>
      </c>
      <c r="AG20" s="13" t="s">
        <v>51</v>
      </c>
      <c r="AH20" s="13" t="s">
        <v>53</v>
      </c>
    </row>
    <row r="21" spans="2:34" x14ac:dyDescent="0.35">
      <c r="B21" s="22"/>
      <c r="D21" s="22"/>
      <c r="F21" t="s">
        <v>89</v>
      </c>
      <c r="G21" t="s">
        <v>90</v>
      </c>
      <c r="H21" s="13" t="s">
        <v>51</v>
      </c>
      <c r="I21" s="13" t="s">
        <v>51</v>
      </c>
      <c r="J21" s="13" t="s">
        <v>53</v>
      </c>
      <c r="K21" s="13" t="s">
        <v>51</v>
      </c>
      <c r="L21" s="13" t="s">
        <v>51</v>
      </c>
      <c r="M21" s="13"/>
      <c r="N21" s="13" t="s">
        <v>51</v>
      </c>
      <c r="O21" s="13" t="s">
        <v>51</v>
      </c>
      <c r="P21" s="13" t="s">
        <v>51</v>
      </c>
      <c r="Q21" s="13" t="s">
        <v>51</v>
      </c>
      <c r="R21" s="13" t="s">
        <v>51</v>
      </c>
      <c r="S21" s="13"/>
      <c r="T21" s="13" t="s">
        <v>52</v>
      </c>
      <c r="U21" s="13" t="s">
        <v>51</v>
      </c>
      <c r="V21" s="13" t="s">
        <v>53</v>
      </c>
      <c r="W21" s="13" t="s">
        <v>52</v>
      </c>
      <c r="X21" s="13" t="s">
        <v>51</v>
      </c>
      <c r="Y21" s="13"/>
      <c r="Z21" s="13" t="s">
        <v>53</v>
      </c>
      <c r="AA21" s="13" t="s">
        <v>53</v>
      </c>
      <c r="AB21" s="13" t="s">
        <v>52</v>
      </c>
      <c r="AC21" s="13" t="s">
        <v>52</v>
      </c>
      <c r="AD21" s="13" t="s">
        <v>51</v>
      </c>
      <c r="AE21" s="13"/>
      <c r="AF21" s="13" t="s">
        <v>51</v>
      </c>
      <c r="AG21" s="13" t="s">
        <v>51</v>
      </c>
      <c r="AH21" s="13" t="s">
        <v>53</v>
      </c>
    </row>
    <row r="22" spans="2:34" x14ac:dyDescent="0.35">
      <c r="F22" t="s">
        <v>91</v>
      </c>
      <c r="G22" t="s">
        <v>73</v>
      </c>
      <c r="H22" s="13" t="s">
        <v>51</v>
      </c>
      <c r="I22" s="13" t="s">
        <v>51</v>
      </c>
      <c r="J22" s="13" t="s">
        <v>51</v>
      </c>
      <c r="K22" s="13" t="s">
        <v>51</v>
      </c>
      <c r="L22" s="13" t="s">
        <v>51</v>
      </c>
      <c r="M22" s="13"/>
      <c r="N22" s="13" t="s">
        <v>51</v>
      </c>
      <c r="O22" s="13" t="s">
        <v>51</v>
      </c>
      <c r="P22" s="13" t="s">
        <v>51</v>
      </c>
      <c r="Q22" s="13" t="s">
        <v>51</v>
      </c>
      <c r="R22" s="13" t="s">
        <v>51</v>
      </c>
      <c r="S22" s="13"/>
      <c r="T22" s="13" t="s">
        <v>52</v>
      </c>
      <c r="U22" s="13" t="s">
        <v>51</v>
      </c>
      <c r="V22" s="13" t="s">
        <v>53</v>
      </c>
      <c r="W22" s="13" t="s">
        <v>52</v>
      </c>
      <c r="X22" s="13" t="s">
        <v>51</v>
      </c>
      <c r="Y22" s="13"/>
      <c r="Z22" s="13" t="s">
        <v>53</v>
      </c>
      <c r="AA22" s="13" t="s">
        <v>53</v>
      </c>
      <c r="AB22" s="13" t="s">
        <v>52</v>
      </c>
      <c r="AC22" s="13" t="s">
        <v>52</v>
      </c>
      <c r="AD22" s="13" t="s">
        <v>51</v>
      </c>
      <c r="AE22" s="13"/>
      <c r="AF22" s="13" t="s">
        <v>51</v>
      </c>
      <c r="AG22" s="13" t="s">
        <v>51</v>
      </c>
      <c r="AH22" s="13" t="s">
        <v>53</v>
      </c>
    </row>
    <row r="23" spans="2:34" x14ac:dyDescent="0.35">
      <c r="B23" s="15" t="s">
        <v>54</v>
      </c>
      <c r="D23" s="15" t="s">
        <v>56</v>
      </c>
      <c r="F23" t="s">
        <v>92</v>
      </c>
      <c r="G23" t="s">
        <v>75</v>
      </c>
      <c r="H23" s="13" t="s">
        <v>51</v>
      </c>
      <c r="I23" s="13" t="s">
        <v>52</v>
      </c>
      <c r="J23" s="13" t="s">
        <v>51</v>
      </c>
      <c r="K23" s="13" t="s">
        <v>51</v>
      </c>
      <c r="L23" s="13" t="s">
        <v>51</v>
      </c>
      <c r="M23" s="13"/>
      <c r="N23" s="13" t="s">
        <v>51</v>
      </c>
      <c r="O23" s="13" t="s">
        <v>53</v>
      </c>
      <c r="P23" s="13" t="s">
        <v>51</v>
      </c>
      <c r="Q23" s="13" t="s">
        <v>51</v>
      </c>
      <c r="R23" s="13" t="s">
        <v>51</v>
      </c>
      <c r="S23" s="13"/>
      <c r="T23" s="13" t="s">
        <v>52</v>
      </c>
      <c r="U23" s="13" t="s">
        <v>51</v>
      </c>
      <c r="V23" s="13" t="s">
        <v>53</v>
      </c>
      <c r="W23" s="13" t="s">
        <v>52</v>
      </c>
      <c r="X23" s="13" t="s">
        <v>51</v>
      </c>
      <c r="Y23" s="13"/>
      <c r="Z23" s="13" t="s">
        <v>53</v>
      </c>
      <c r="AA23" s="13" t="s">
        <v>53</v>
      </c>
      <c r="AB23" s="13" t="s">
        <v>52</v>
      </c>
      <c r="AC23" s="13" t="s">
        <v>52</v>
      </c>
      <c r="AD23" s="13" t="s">
        <v>51</v>
      </c>
      <c r="AE23" s="13"/>
      <c r="AF23" s="13" t="s">
        <v>51</v>
      </c>
      <c r="AG23" s="13" t="s">
        <v>51</v>
      </c>
      <c r="AH23" s="13" t="s">
        <v>53</v>
      </c>
    </row>
    <row r="24" spans="2:34" x14ac:dyDescent="0.35">
      <c r="B24" s="23">
        <f ca="1">SUM(H2:AH2)</f>
        <v>1</v>
      </c>
      <c r="D24" s="23">
        <f ca="1">SUM(H3:AH3)</f>
        <v>0</v>
      </c>
      <c r="F24" t="s">
        <v>93</v>
      </c>
      <c r="G24" t="s">
        <v>77</v>
      </c>
      <c r="H24" s="13" t="s">
        <v>51</v>
      </c>
      <c r="I24" s="13" t="s">
        <v>51</v>
      </c>
      <c r="J24" s="13" t="s">
        <v>51</v>
      </c>
      <c r="K24" s="13" t="s">
        <v>51</v>
      </c>
      <c r="L24" s="13" t="s">
        <v>51</v>
      </c>
      <c r="M24" s="13"/>
      <c r="N24" s="13" t="s">
        <v>51</v>
      </c>
      <c r="O24" s="13" t="s">
        <v>51</v>
      </c>
      <c r="P24" s="13" t="s">
        <v>51</v>
      </c>
      <c r="Q24" s="13" t="s">
        <v>51</v>
      </c>
      <c r="R24" s="13" t="s">
        <v>51</v>
      </c>
      <c r="S24" s="13"/>
      <c r="T24" s="13" t="s">
        <v>52</v>
      </c>
      <c r="U24" s="13" t="s">
        <v>51</v>
      </c>
      <c r="V24" s="13" t="s">
        <v>53</v>
      </c>
      <c r="W24" s="13" t="s">
        <v>52</v>
      </c>
      <c r="X24" s="13" t="s">
        <v>51</v>
      </c>
      <c r="Y24" s="13"/>
      <c r="Z24" s="13" t="s">
        <v>53</v>
      </c>
      <c r="AA24" s="13" t="s">
        <v>53</v>
      </c>
      <c r="AB24" s="13" t="s">
        <v>52</v>
      </c>
      <c r="AC24" s="13" t="s">
        <v>52</v>
      </c>
      <c r="AD24" s="13" t="s">
        <v>51</v>
      </c>
      <c r="AE24" s="13"/>
      <c r="AF24" s="13" t="s">
        <v>51</v>
      </c>
      <c r="AG24" s="13" t="s">
        <v>52</v>
      </c>
      <c r="AH24" s="13" t="s">
        <v>53</v>
      </c>
    </row>
    <row r="25" spans="2:34" x14ac:dyDescent="0.35">
      <c r="B25" s="23"/>
      <c r="D25" s="23"/>
      <c r="F25" t="s">
        <v>94</v>
      </c>
      <c r="G25" t="s">
        <v>79</v>
      </c>
      <c r="H25" s="13" t="s">
        <v>51</v>
      </c>
      <c r="I25" s="13" t="s">
        <v>51</v>
      </c>
      <c r="J25" s="13" t="s">
        <v>51</v>
      </c>
      <c r="K25" s="13" t="s">
        <v>51</v>
      </c>
      <c r="L25" s="13" t="s">
        <v>51</v>
      </c>
      <c r="M25" s="13"/>
      <c r="N25" s="13" t="s">
        <v>51</v>
      </c>
      <c r="O25" s="13" t="s">
        <v>51</v>
      </c>
      <c r="P25" s="13" t="s">
        <v>51</v>
      </c>
      <c r="Q25" s="13" t="s">
        <v>51</v>
      </c>
      <c r="R25" s="13" t="s">
        <v>51</v>
      </c>
      <c r="S25" s="13"/>
      <c r="T25" s="13" t="s">
        <v>52</v>
      </c>
      <c r="U25" s="13" t="s">
        <v>51</v>
      </c>
      <c r="V25" s="13" t="s">
        <v>53</v>
      </c>
      <c r="W25" s="13" t="s">
        <v>52</v>
      </c>
      <c r="X25" s="13" t="s">
        <v>51</v>
      </c>
      <c r="Y25" s="13"/>
      <c r="Z25" s="13" t="s">
        <v>53</v>
      </c>
      <c r="AA25" s="13" t="s">
        <v>53</v>
      </c>
      <c r="AB25" s="13" t="s">
        <v>52</v>
      </c>
      <c r="AC25" s="13" t="s">
        <v>52</v>
      </c>
      <c r="AD25" s="13" t="s">
        <v>51</v>
      </c>
      <c r="AE25" s="13"/>
      <c r="AF25" s="13" t="s">
        <v>51</v>
      </c>
      <c r="AG25" s="13" t="s">
        <v>52</v>
      </c>
      <c r="AH25" s="13" t="s">
        <v>53</v>
      </c>
    </row>
    <row r="26" spans="2:34" x14ac:dyDescent="0.35">
      <c r="B26" s="23"/>
      <c r="D26" s="23"/>
      <c r="F26" t="s">
        <v>95</v>
      </c>
      <c r="G26" t="s">
        <v>81</v>
      </c>
      <c r="H26" s="13" t="s">
        <v>51</v>
      </c>
      <c r="I26" s="13" t="s">
        <v>51</v>
      </c>
      <c r="J26" s="13" t="s">
        <v>51</v>
      </c>
      <c r="K26" s="13" t="s">
        <v>51</v>
      </c>
      <c r="L26" s="13" t="s">
        <v>51</v>
      </c>
      <c r="M26" s="13"/>
      <c r="N26" s="13" t="s">
        <v>51</v>
      </c>
      <c r="O26" s="13" t="s">
        <v>51</v>
      </c>
      <c r="P26" s="13" t="s">
        <v>51</v>
      </c>
      <c r="Q26" s="13" t="s">
        <v>51</v>
      </c>
      <c r="R26" s="13" t="s">
        <v>51</v>
      </c>
      <c r="S26" s="13"/>
      <c r="T26" s="13" t="s">
        <v>52</v>
      </c>
      <c r="U26" s="13" t="s">
        <v>51</v>
      </c>
      <c r="V26" s="13" t="s">
        <v>53</v>
      </c>
      <c r="W26" s="13" t="s">
        <v>52</v>
      </c>
      <c r="X26" s="13" t="s">
        <v>51</v>
      </c>
      <c r="Y26" s="13"/>
      <c r="Z26" s="13" t="s">
        <v>53</v>
      </c>
      <c r="AA26" s="13" t="s">
        <v>53</v>
      </c>
      <c r="AB26" s="13" t="s">
        <v>52</v>
      </c>
      <c r="AC26" s="13" t="s">
        <v>52</v>
      </c>
      <c r="AD26" s="13" t="s">
        <v>51</v>
      </c>
      <c r="AE26" s="13"/>
      <c r="AF26" s="13" t="s">
        <v>51</v>
      </c>
      <c r="AG26" s="13" t="s">
        <v>52</v>
      </c>
      <c r="AH26" s="13" t="s">
        <v>53</v>
      </c>
    </row>
    <row r="27" spans="2:34" x14ac:dyDescent="0.35">
      <c r="F27" t="s">
        <v>96</v>
      </c>
      <c r="G27" t="s">
        <v>97</v>
      </c>
      <c r="H27" s="13" t="s">
        <v>51</v>
      </c>
      <c r="I27" s="13" t="s">
        <v>51</v>
      </c>
      <c r="J27" s="13" t="s">
        <v>51</v>
      </c>
      <c r="K27" s="13" t="s">
        <v>51</v>
      </c>
      <c r="L27" s="13" t="s">
        <v>51</v>
      </c>
      <c r="M27" s="13"/>
      <c r="N27" s="13" t="s">
        <v>51</v>
      </c>
      <c r="O27" s="13" t="s">
        <v>51</v>
      </c>
      <c r="P27" s="13" t="s">
        <v>51</v>
      </c>
      <c r="Q27" s="13" t="s">
        <v>51</v>
      </c>
      <c r="R27" s="13" t="s">
        <v>51</v>
      </c>
      <c r="S27" s="13"/>
      <c r="T27" s="13" t="s">
        <v>52</v>
      </c>
      <c r="U27" s="13" t="s">
        <v>51</v>
      </c>
      <c r="V27" s="13" t="s">
        <v>53</v>
      </c>
      <c r="W27" s="13" t="s">
        <v>52</v>
      </c>
      <c r="X27" s="13" t="s">
        <v>51</v>
      </c>
      <c r="Y27" s="13"/>
      <c r="Z27" s="13" t="s">
        <v>53</v>
      </c>
      <c r="AA27" s="13" t="s">
        <v>53</v>
      </c>
      <c r="AB27" s="13" t="s">
        <v>52</v>
      </c>
      <c r="AC27" s="13" t="s">
        <v>52</v>
      </c>
      <c r="AD27" s="13" t="s">
        <v>51</v>
      </c>
      <c r="AE27" s="13"/>
      <c r="AF27" s="13" t="s">
        <v>51</v>
      </c>
      <c r="AG27" s="13" t="s">
        <v>52</v>
      </c>
      <c r="AH27" s="13" t="s">
        <v>53</v>
      </c>
    </row>
    <row r="28" spans="2:34" x14ac:dyDescent="0.35">
      <c r="F28" t="s">
        <v>98</v>
      </c>
      <c r="G28" t="s">
        <v>99</v>
      </c>
      <c r="H28" s="13" t="s">
        <v>51</v>
      </c>
      <c r="I28" s="13" t="s">
        <v>51</v>
      </c>
      <c r="J28" s="13" t="s">
        <v>51</v>
      </c>
      <c r="K28" s="13" t="s">
        <v>51</v>
      </c>
      <c r="L28" s="13" t="s">
        <v>51</v>
      </c>
      <c r="M28" s="13"/>
      <c r="N28" s="13" t="s">
        <v>51</v>
      </c>
      <c r="O28" s="13" t="s">
        <v>51</v>
      </c>
      <c r="P28" s="13" t="s">
        <v>51</v>
      </c>
      <c r="Q28" s="13" t="s">
        <v>51</v>
      </c>
      <c r="R28" s="13" t="s">
        <v>51</v>
      </c>
      <c r="S28" s="13"/>
      <c r="T28" s="13" t="s">
        <v>52</v>
      </c>
      <c r="U28" s="13" t="s">
        <v>51</v>
      </c>
      <c r="V28" s="13" t="s">
        <v>53</v>
      </c>
      <c r="W28" s="13" t="s">
        <v>52</v>
      </c>
      <c r="X28" s="13" t="s">
        <v>51</v>
      </c>
      <c r="Y28" s="13"/>
      <c r="Z28" s="13" t="s">
        <v>53</v>
      </c>
      <c r="AA28" s="13" t="s">
        <v>53</v>
      </c>
      <c r="AB28" s="13" t="s">
        <v>52</v>
      </c>
      <c r="AC28" s="13" t="s">
        <v>52</v>
      </c>
      <c r="AD28" s="13" t="s">
        <v>51</v>
      </c>
      <c r="AE28" s="13"/>
      <c r="AF28" s="13" t="s">
        <v>51</v>
      </c>
      <c r="AG28" s="13" t="s">
        <v>51</v>
      </c>
      <c r="AH28" s="13" t="s">
        <v>53</v>
      </c>
    </row>
    <row r="29" spans="2:34" x14ac:dyDescent="0.35">
      <c r="F29" t="s">
        <v>100</v>
      </c>
      <c r="G29" t="s">
        <v>101</v>
      </c>
      <c r="H29" s="13" t="s">
        <v>51</v>
      </c>
      <c r="I29" s="13" t="s">
        <v>51</v>
      </c>
      <c r="J29" s="13" t="s">
        <v>51</v>
      </c>
      <c r="K29" s="13" t="s">
        <v>51</v>
      </c>
      <c r="L29" s="13" t="s">
        <v>51</v>
      </c>
      <c r="M29" s="13"/>
      <c r="N29" s="13" t="s">
        <v>51</v>
      </c>
      <c r="O29" s="13" t="s">
        <v>51</v>
      </c>
      <c r="P29" s="13" t="s">
        <v>51</v>
      </c>
      <c r="Q29" s="13" t="s">
        <v>51</v>
      </c>
      <c r="R29" s="13" t="s">
        <v>51</v>
      </c>
      <c r="S29" s="13"/>
      <c r="T29" s="13" t="s">
        <v>52</v>
      </c>
      <c r="U29" s="13" t="s">
        <v>51</v>
      </c>
      <c r="V29" s="13" t="s">
        <v>53</v>
      </c>
      <c r="W29" s="13" t="s">
        <v>52</v>
      </c>
      <c r="X29" s="13" t="s">
        <v>51</v>
      </c>
      <c r="Y29" s="13"/>
      <c r="Z29" s="13" t="s">
        <v>53</v>
      </c>
      <c r="AA29" s="13" t="s">
        <v>53</v>
      </c>
      <c r="AB29" s="13" t="s">
        <v>52</v>
      </c>
      <c r="AC29" s="13" t="s">
        <v>52</v>
      </c>
      <c r="AD29" s="13" t="s">
        <v>51</v>
      </c>
      <c r="AE29" s="13"/>
      <c r="AF29" s="13" t="s">
        <v>51</v>
      </c>
      <c r="AG29" s="13" t="s">
        <v>51</v>
      </c>
      <c r="AH29" s="13" t="s">
        <v>53</v>
      </c>
    </row>
    <row r="30" spans="2:34" x14ac:dyDescent="0.35">
      <c r="F30" t="s">
        <v>102</v>
      </c>
      <c r="G30" t="s">
        <v>103</v>
      </c>
      <c r="H30" s="13" t="s">
        <v>51</v>
      </c>
      <c r="I30" s="13" t="s">
        <v>51</v>
      </c>
      <c r="J30" s="13" t="s">
        <v>51</v>
      </c>
      <c r="K30" s="13" t="s">
        <v>51</v>
      </c>
      <c r="L30" s="13" t="s">
        <v>51</v>
      </c>
      <c r="M30" s="13"/>
      <c r="N30" s="13" t="s">
        <v>51</v>
      </c>
      <c r="O30" s="13" t="s">
        <v>51</v>
      </c>
      <c r="P30" s="13" t="s">
        <v>51</v>
      </c>
      <c r="Q30" s="13" t="s">
        <v>51</v>
      </c>
      <c r="R30" s="13" t="s">
        <v>51</v>
      </c>
      <c r="S30" s="13"/>
      <c r="T30" s="13" t="s">
        <v>52</v>
      </c>
      <c r="U30" s="13" t="s">
        <v>51</v>
      </c>
      <c r="V30" s="13" t="s">
        <v>53</v>
      </c>
      <c r="W30" s="13" t="s">
        <v>52</v>
      </c>
      <c r="X30" s="13" t="s">
        <v>51</v>
      </c>
      <c r="Y30" s="13"/>
      <c r="Z30" s="13" t="s">
        <v>53</v>
      </c>
      <c r="AA30" s="13" t="s">
        <v>53</v>
      </c>
      <c r="AB30" s="13" t="s">
        <v>52</v>
      </c>
      <c r="AC30" s="13" t="s">
        <v>52</v>
      </c>
      <c r="AD30" s="13" t="s">
        <v>51</v>
      </c>
      <c r="AE30" s="13"/>
      <c r="AF30" s="13" t="s">
        <v>51</v>
      </c>
      <c r="AG30" s="13" t="s">
        <v>51</v>
      </c>
      <c r="AH30" s="13" t="s">
        <v>53</v>
      </c>
    </row>
  </sheetData>
  <sheetProtection sheet="1" objects="1" scenarios="1"/>
  <mergeCells count="5">
    <mergeCell ref="B6:D6"/>
    <mergeCell ref="B19:B21"/>
    <mergeCell ref="D19:D21"/>
    <mergeCell ref="B24:B26"/>
    <mergeCell ref="D24:D26"/>
  </mergeCells>
  <conditionalFormatting sqref="D8">
    <cfRule type="timePeriod" dxfId="4" priority="2" timePeriod="today">
      <formula>FLOOR(D8,1)=TODAY()</formula>
    </cfRule>
  </conditionalFormatting>
  <conditionalFormatting sqref="F6:AH6">
    <cfRule type="expression" dxfId="3" priority="5">
      <formula>F$6&lt;&gt;""</formula>
    </cfRule>
  </conditionalFormatting>
  <conditionalFormatting sqref="H6:AH6">
    <cfRule type="timePeriod" dxfId="2" priority="1" timePeriod="today">
      <formula>FLOOR(H6,1)=TODAY()</formula>
    </cfRule>
  </conditionalFormatting>
  <conditionalFormatting sqref="AJ7:AL7 F7:AH30">
    <cfRule type="expression" dxfId="1" priority="4">
      <formula>F$6&lt;&gt;""</formula>
    </cfRule>
  </conditionalFormatting>
  <conditionalFormatting sqref="AJ7:AL7 H7:AH30">
    <cfRule type="expression" dxfId="0" priority="3">
      <formula>$D$12=TEXT(H$6-1,"dddd")</formula>
    </cfRule>
  </conditionalFormatting>
  <dataValidations count="1">
    <dataValidation type="list" allowBlank="1" showInputMessage="1" showErrorMessage="1" sqref="D10" xr:uid="{15EC22B6-F7AB-4F0F-8212-D0BA93B5ABFA}">
      <formula1>"2025,2026,2027"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084F010-7624-4895-9871-9B6E4B34131F}">
          <x14:formula1>
            <xm:f>Sheet2!$F$1:$F$7</xm:f>
          </x14:formula1>
          <xm:sqref>D12</xm:sqref>
        </x14:dataValidation>
        <x14:dataValidation type="list" allowBlank="1" showInputMessage="1" showErrorMessage="1" xr:uid="{FE125311-154E-489B-97F7-F0048931070E}">
          <x14:formula1>
            <xm:f>Sheet2!$E$1:$E$12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0A7C-DFAA-4313-A4BD-81E44D991588}">
  <sheetPr codeName="Sheet1"/>
  <dimension ref="B1:AL25"/>
  <sheetViews>
    <sheetView topLeftCell="B3" zoomScale="94" zoomScaleNormal="94" workbookViewId="0">
      <selection activeCell="D6" sqref="D6"/>
    </sheetView>
  </sheetViews>
  <sheetFormatPr defaultRowHeight="14.5" x14ac:dyDescent="0.35"/>
  <cols>
    <col min="2" max="2" width="14.7265625" customWidth="1"/>
    <col min="3" max="3" width="3.1796875" customWidth="1"/>
    <col min="4" max="4" width="15.54296875" customWidth="1"/>
    <col min="5" max="5" width="10.54296875" bestFit="1" customWidth="1"/>
    <col min="7" max="7" width="14.54296875" customWidth="1"/>
    <col min="8" max="34" width="3.54296875" bestFit="1" customWidth="1"/>
  </cols>
  <sheetData>
    <row r="1" spans="2:38" hidden="1" x14ac:dyDescent="0.35">
      <c r="B1" s="3"/>
      <c r="D1" s="3">
        <f>EOMONTH(B1,0)</f>
        <v>31</v>
      </c>
      <c r="E1" s="10">
        <f ca="1">TODAY()</f>
        <v>46082</v>
      </c>
    </row>
    <row r="2" spans="2:38" hidden="1" x14ac:dyDescent="0.35">
      <c r="B2" t="str">
        <f>TEXT(B1,"dddd")</f>
        <v>Saturday</v>
      </c>
    </row>
    <row r="4" spans="2:38" x14ac:dyDescent="0.35">
      <c r="B4" s="19" t="s">
        <v>0</v>
      </c>
      <c r="C4" s="19"/>
      <c r="D4" s="19"/>
    </row>
    <row r="5" spans="2:38" ht="26" x14ac:dyDescent="0.35">
      <c r="H5" s="5" t="str">
        <f>TEXT(H6,"ddd")</f>
        <v>Sat</v>
      </c>
      <c r="I5" s="5" t="str">
        <f t="shared" ref="I5:AH5" si="0">TEXT(I6,"ddd")</f>
        <v>Sun</v>
      </c>
      <c r="J5" s="5" t="str">
        <f t="shared" si="0"/>
        <v>Mon</v>
      </c>
      <c r="K5" s="5" t="str">
        <f t="shared" si="0"/>
        <v>Tue</v>
      </c>
      <c r="L5" s="5" t="str">
        <f t="shared" si="0"/>
        <v>Wed</v>
      </c>
      <c r="M5" s="5" t="str">
        <f t="shared" si="0"/>
        <v>Thu</v>
      </c>
      <c r="N5" s="5" t="str">
        <f t="shared" si="0"/>
        <v>Sat</v>
      </c>
      <c r="O5" s="5" t="str">
        <f t="shared" si="0"/>
        <v>Sun</v>
      </c>
      <c r="P5" s="5" t="str">
        <f t="shared" si="0"/>
        <v>Mon</v>
      </c>
      <c r="Q5" s="5" t="str">
        <f t="shared" si="0"/>
        <v>Tue</v>
      </c>
      <c r="R5" s="5" t="str">
        <f t="shared" si="0"/>
        <v>Wed</v>
      </c>
      <c r="S5" s="5" t="str">
        <f t="shared" si="0"/>
        <v>Thu</v>
      </c>
      <c r="T5" s="5" t="str">
        <f t="shared" si="0"/>
        <v>Sat</v>
      </c>
      <c r="U5" s="5" t="str">
        <f t="shared" si="0"/>
        <v>Sun</v>
      </c>
      <c r="V5" s="5" t="str">
        <f t="shared" si="0"/>
        <v>Mon</v>
      </c>
      <c r="W5" s="5" t="str">
        <f t="shared" si="0"/>
        <v>Tue</v>
      </c>
      <c r="X5" s="5" t="str">
        <f t="shared" si="0"/>
        <v>Wed</v>
      </c>
      <c r="Y5" s="5" t="str">
        <f t="shared" si="0"/>
        <v>Thu</v>
      </c>
      <c r="Z5" s="5" t="str">
        <f t="shared" si="0"/>
        <v>Sat</v>
      </c>
      <c r="AA5" s="5" t="str">
        <f t="shared" si="0"/>
        <v>Sun</v>
      </c>
      <c r="AB5" s="5" t="str">
        <f t="shared" si="0"/>
        <v>Mon</v>
      </c>
      <c r="AC5" s="5" t="str">
        <f t="shared" si="0"/>
        <v>Tue</v>
      </c>
      <c r="AD5" s="5" t="str">
        <f t="shared" si="0"/>
        <v>Wed</v>
      </c>
      <c r="AE5" s="5" t="str">
        <f t="shared" si="0"/>
        <v>Thu</v>
      </c>
      <c r="AF5" s="5" t="str">
        <f t="shared" si="0"/>
        <v>Sat</v>
      </c>
      <c r="AG5" s="5" t="str">
        <f t="shared" si="0"/>
        <v>Sun</v>
      </c>
      <c r="AH5" s="5" t="str">
        <f t="shared" si="0"/>
        <v>Mon</v>
      </c>
    </row>
    <row r="6" spans="2:38" x14ac:dyDescent="0.35">
      <c r="B6" s="6" t="s">
        <v>7</v>
      </c>
      <c r="C6" s="6"/>
      <c r="D6" s="7" t="s">
        <v>50</v>
      </c>
      <c r="F6" t="s">
        <v>1</v>
      </c>
      <c r="G6" t="s">
        <v>2</v>
      </c>
      <c r="H6" s="4">
        <f>IF(TEXT(B1,"dddd")=D10,B1+1,B1)</f>
        <v>0</v>
      </c>
      <c r="I6" s="4">
        <f>IFERROR(IF(IF(TEXT(H6+1,"dddd")=$D$10,H6+2,H6+1)&lt;=$D$1,IF(TEXT(H6+1,"dddd")=$D$10,H6+2,H6+1),""),"")</f>
        <v>1</v>
      </c>
      <c r="J6" s="4">
        <f t="shared" ref="J6:AL6" si="1">IFERROR(IF(IF(TEXT(I6+1,"dddd")=$D$10,I6+2,I6+1)&lt;=$D$1,IF(TEXT(I6+1,"dddd")=$D$10,I6+2,I6+1),""),"")</f>
        <v>2</v>
      </c>
      <c r="K6" s="4">
        <f t="shared" si="1"/>
        <v>3</v>
      </c>
      <c r="L6" s="4">
        <f t="shared" si="1"/>
        <v>4</v>
      </c>
      <c r="M6" s="4">
        <f t="shared" si="1"/>
        <v>5</v>
      </c>
      <c r="N6" s="4">
        <f t="shared" si="1"/>
        <v>7</v>
      </c>
      <c r="O6" s="4">
        <f t="shared" si="1"/>
        <v>8</v>
      </c>
      <c r="P6" s="4">
        <f t="shared" si="1"/>
        <v>9</v>
      </c>
      <c r="Q6" s="4">
        <f t="shared" si="1"/>
        <v>10</v>
      </c>
      <c r="R6" s="4">
        <f t="shared" si="1"/>
        <v>11</v>
      </c>
      <c r="S6" s="4">
        <f t="shared" si="1"/>
        <v>12</v>
      </c>
      <c r="T6" s="4">
        <f t="shared" si="1"/>
        <v>14</v>
      </c>
      <c r="U6" s="4">
        <f t="shared" si="1"/>
        <v>15</v>
      </c>
      <c r="V6" s="4">
        <f t="shared" si="1"/>
        <v>16</v>
      </c>
      <c r="W6" s="4">
        <f t="shared" si="1"/>
        <v>17</v>
      </c>
      <c r="X6" s="4">
        <f t="shared" si="1"/>
        <v>18</v>
      </c>
      <c r="Y6" s="4">
        <f t="shared" si="1"/>
        <v>19</v>
      </c>
      <c r="Z6" s="4">
        <f t="shared" si="1"/>
        <v>21</v>
      </c>
      <c r="AA6" s="4">
        <f t="shared" si="1"/>
        <v>22</v>
      </c>
      <c r="AB6" s="4">
        <f t="shared" si="1"/>
        <v>23</v>
      </c>
      <c r="AC6" s="4">
        <f t="shared" si="1"/>
        <v>24</v>
      </c>
      <c r="AD6" s="4">
        <f t="shared" si="1"/>
        <v>25</v>
      </c>
      <c r="AE6" s="4">
        <f t="shared" si="1"/>
        <v>26</v>
      </c>
      <c r="AF6" s="4">
        <f t="shared" si="1"/>
        <v>28</v>
      </c>
      <c r="AG6" s="4">
        <f t="shared" si="1"/>
        <v>29</v>
      </c>
      <c r="AH6" s="9">
        <f>IFERROR(IF(IF(TEXT(AG6+1,"dddd")=$D$10,AG6+2,AG6+1)&lt;=$D$1,IF(TEXT(AG6+1,"dddd")=$D$10,AG6+2,AG6+1),""),"")</f>
        <v>30</v>
      </c>
      <c r="AI6" s="3">
        <f t="shared" si="1"/>
        <v>31</v>
      </c>
      <c r="AJ6" s="3" t="str">
        <f t="shared" si="1"/>
        <v/>
      </c>
      <c r="AK6" s="3" t="str">
        <f t="shared" si="1"/>
        <v/>
      </c>
      <c r="AL6" s="3" t="str">
        <f t="shared" si="1"/>
        <v/>
      </c>
    </row>
    <row r="7" spans="2:38" x14ac:dyDescent="0.35">
      <c r="D7" s="8"/>
    </row>
    <row r="8" spans="2:38" x14ac:dyDescent="0.35">
      <c r="B8" s="6" t="s">
        <v>9</v>
      </c>
      <c r="C8" s="6"/>
      <c r="D8" s="7">
        <v>2025</v>
      </c>
    </row>
    <row r="9" spans="2:38" x14ac:dyDescent="0.35">
      <c r="D9" s="8"/>
    </row>
    <row r="10" spans="2:38" x14ac:dyDescent="0.35">
      <c r="B10" s="6" t="s">
        <v>10</v>
      </c>
      <c r="C10" s="6"/>
      <c r="D10" s="7" t="s">
        <v>11</v>
      </c>
    </row>
    <row r="12" spans="2:38" x14ac:dyDescent="0.35">
      <c r="B12" s="6" t="s">
        <v>12</v>
      </c>
      <c r="C12" s="6"/>
      <c r="D12" s="6"/>
    </row>
    <row r="13" spans="2:38" x14ac:dyDescent="0.35">
      <c r="B13" s="6" t="s">
        <v>13</v>
      </c>
      <c r="C13" s="6"/>
      <c r="D13" s="6"/>
    </row>
    <row r="14" spans="2:38" x14ac:dyDescent="0.35">
      <c r="B14" s="6" t="s">
        <v>6</v>
      </c>
      <c r="C14" s="6"/>
      <c r="D14" s="6"/>
    </row>
    <row r="16" spans="2:38" x14ac:dyDescent="0.35">
      <c r="B16" s="11" t="s">
        <v>14</v>
      </c>
      <c r="D16" s="12"/>
    </row>
    <row r="17" spans="2:4" x14ac:dyDescent="0.35">
      <c r="B17" s="20"/>
      <c r="D17" s="11" t="s">
        <v>15</v>
      </c>
    </row>
    <row r="18" spans="2:4" x14ac:dyDescent="0.35">
      <c r="B18" s="20"/>
      <c r="D18" s="20"/>
    </row>
    <row r="19" spans="2:4" x14ac:dyDescent="0.35">
      <c r="B19" s="20"/>
      <c r="D19" s="20"/>
    </row>
    <row r="20" spans="2:4" x14ac:dyDescent="0.35">
      <c r="D20" s="20"/>
    </row>
    <row r="22" spans="2:4" x14ac:dyDescent="0.35">
      <c r="B22" s="11" t="s">
        <v>16</v>
      </c>
      <c r="D22" s="11" t="s">
        <v>17</v>
      </c>
    </row>
    <row r="23" spans="2:4" x14ac:dyDescent="0.35">
      <c r="B23" s="20"/>
      <c r="D23" s="20"/>
    </row>
    <row r="24" spans="2:4" x14ac:dyDescent="0.35">
      <c r="B24" s="20"/>
      <c r="D24" s="20"/>
    </row>
    <row r="25" spans="2:4" x14ac:dyDescent="0.35">
      <c r="B25" s="20"/>
      <c r="D25" s="20"/>
    </row>
  </sheetData>
  <mergeCells count="5">
    <mergeCell ref="B4:D4"/>
    <mergeCell ref="B17:B19"/>
    <mergeCell ref="B23:B25"/>
    <mergeCell ref="D18:D20"/>
    <mergeCell ref="D23:D25"/>
  </mergeCells>
  <conditionalFormatting sqref="F6:AG6">
    <cfRule type="expression" dxfId="18" priority="10">
      <formula>F$6&lt;&gt;""</formula>
    </cfRule>
  </conditionalFormatting>
  <conditionalFormatting sqref="F7:AH27">
    <cfRule type="expression" dxfId="17" priority="9">
      <formula>F$6&lt;&gt;""</formula>
    </cfRule>
  </conditionalFormatting>
  <conditionalFormatting sqref="H1">
    <cfRule type="timePeriod" dxfId="16" priority="1" timePeriod="today">
      <formula>FLOOR(H1,1)=TODAY()</formula>
    </cfRule>
  </conditionalFormatting>
  <conditionalFormatting sqref="H7:AH27">
    <cfRule type="expression" dxfId="15" priority="5">
      <formula>$D$10=TEXT(H$6-1,"dddd")</formula>
    </cfRule>
    <cfRule type="expression" dxfId="14" priority="6">
      <formula>$D$10=TEXT(H$6-1,"dddd")</formula>
    </cfRule>
  </conditionalFormatting>
  <conditionalFormatting sqref="AB4">
    <cfRule type="timePeriod" dxfId="13" priority="3" timePeriod="today">
      <formula>FLOOR(AB4,1)=TODAY()</formula>
    </cfRule>
  </conditionalFormatting>
  <conditionalFormatting sqref="AB7">
    <cfRule type="timePeriod" dxfId="12" priority="2" timePeriod="today">
      <formula>FLOOR(AB7,1)=TODAY()</formula>
    </cfRule>
  </conditionalFormatting>
  <conditionalFormatting sqref="AI5">
    <cfRule type="expression" dxfId="11" priority="7">
      <formula>$D$10=TEXT(H$6-1,"dddd")</formula>
    </cfRule>
  </conditionalFormatting>
  <conditionalFormatting sqref="AI10">
    <cfRule type="timePeriod" dxfId="10" priority="4" timePeriod="today">
      <formula>FLOOR(AI10,1)=TODAY()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CE59A0-30BF-4B5A-932C-8BB347112A4A}">
          <x14:formula1>
            <xm:f>Sheet2!$E$1:$E$12</xm:f>
          </x14:formula1>
          <xm:sqref>D6</xm:sqref>
        </x14:dataValidation>
        <x14:dataValidation type="list" allowBlank="1" showInputMessage="1" showErrorMessage="1" xr:uid="{AB70D591-B91C-4A3C-8B33-7653A773162F}">
          <x14:formula1>
            <xm:f>Sheet2!$C$1:$C$4</xm:f>
          </x14:formula1>
          <xm:sqref>D8</xm:sqref>
        </x14:dataValidation>
        <x14:dataValidation type="list" allowBlank="1" showInputMessage="1" showErrorMessage="1" xr:uid="{110025CF-AEEB-4663-A194-FDC5CD148909}">
          <x14:formula1>
            <xm:f>Sheet2!$F$1:$F$7</xm:f>
          </x14:formula1>
          <xm:sqref>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FA14-DA94-43F3-BD07-707C1991F612}">
  <dimension ref="A1:L12"/>
  <sheetViews>
    <sheetView workbookViewId="0">
      <selection activeCell="L1" sqref="L1:L7"/>
    </sheetView>
  </sheetViews>
  <sheetFormatPr defaultRowHeight="14.5" x14ac:dyDescent="0.35"/>
  <cols>
    <col min="5" max="5" width="9.81640625" bestFit="1" customWidth="1"/>
    <col min="6" max="6" width="10.54296875" bestFit="1" customWidth="1"/>
  </cols>
  <sheetData>
    <row r="1" spans="1:12" x14ac:dyDescent="0.35">
      <c r="A1" t="s">
        <v>18</v>
      </c>
      <c r="B1" t="s">
        <v>5</v>
      </c>
      <c r="C1">
        <v>2022</v>
      </c>
      <c r="E1" t="s">
        <v>19</v>
      </c>
      <c r="F1" t="s">
        <v>20</v>
      </c>
      <c r="H1">
        <v>2022</v>
      </c>
      <c r="L1" t="s">
        <v>21</v>
      </c>
    </row>
    <row r="2" spans="1:12" x14ac:dyDescent="0.35">
      <c r="A2" t="s">
        <v>22</v>
      </c>
      <c r="B2" t="s">
        <v>23</v>
      </c>
      <c r="C2">
        <v>2023</v>
      </c>
      <c r="E2" t="s">
        <v>24</v>
      </c>
      <c r="F2" t="s">
        <v>25</v>
      </c>
      <c r="H2">
        <v>2023</v>
      </c>
      <c r="L2" t="s">
        <v>20</v>
      </c>
    </row>
    <row r="3" spans="1:12" x14ac:dyDescent="0.35">
      <c r="A3" t="s">
        <v>26</v>
      </c>
      <c r="B3" t="s">
        <v>27</v>
      </c>
      <c r="C3">
        <v>2024</v>
      </c>
      <c r="E3" t="s">
        <v>28</v>
      </c>
      <c r="F3" t="s">
        <v>29</v>
      </c>
      <c r="H3">
        <v>2024</v>
      </c>
      <c r="L3" t="s">
        <v>25</v>
      </c>
    </row>
    <row r="4" spans="1:12" x14ac:dyDescent="0.35">
      <c r="A4" t="s">
        <v>30</v>
      </c>
      <c r="B4" t="s">
        <v>31</v>
      </c>
      <c r="C4">
        <v>2025</v>
      </c>
      <c r="E4" t="s">
        <v>32</v>
      </c>
      <c r="F4" t="s">
        <v>33</v>
      </c>
      <c r="H4">
        <v>2025</v>
      </c>
      <c r="L4" t="s">
        <v>29</v>
      </c>
    </row>
    <row r="5" spans="1:12" x14ac:dyDescent="0.35">
      <c r="A5" t="s">
        <v>34</v>
      </c>
      <c r="B5" t="s">
        <v>35</v>
      </c>
      <c r="E5" t="s">
        <v>34</v>
      </c>
      <c r="F5" t="s">
        <v>11</v>
      </c>
      <c r="H5">
        <v>2026</v>
      </c>
      <c r="L5" t="s">
        <v>33</v>
      </c>
    </row>
    <row r="6" spans="1:12" x14ac:dyDescent="0.35">
      <c r="A6" t="s">
        <v>36</v>
      </c>
      <c r="B6" t="s">
        <v>37</v>
      </c>
      <c r="E6" t="s">
        <v>38</v>
      </c>
      <c r="F6" t="s">
        <v>39</v>
      </c>
      <c r="L6" t="s">
        <v>11</v>
      </c>
    </row>
    <row r="7" spans="1:12" x14ac:dyDescent="0.35">
      <c r="A7" t="s">
        <v>4</v>
      </c>
      <c r="B7" t="s">
        <v>40</v>
      </c>
      <c r="E7" t="s">
        <v>41</v>
      </c>
      <c r="F7" t="s">
        <v>21</v>
      </c>
      <c r="L7" t="s">
        <v>39</v>
      </c>
    </row>
    <row r="8" spans="1:12" x14ac:dyDescent="0.35">
      <c r="A8" t="s">
        <v>42</v>
      </c>
      <c r="E8" t="s">
        <v>8</v>
      </c>
    </row>
    <row r="9" spans="1:12" x14ac:dyDescent="0.35">
      <c r="A9" t="s">
        <v>43</v>
      </c>
      <c r="E9" t="s">
        <v>44</v>
      </c>
    </row>
    <row r="10" spans="1:12" x14ac:dyDescent="0.35">
      <c r="A10" t="s">
        <v>45</v>
      </c>
      <c r="E10" t="s">
        <v>46</v>
      </c>
    </row>
    <row r="11" spans="1:12" x14ac:dyDescent="0.35">
      <c r="A11" t="s">
        <v>47</v>
      </c>
      <c r="E11" t="s">
        <v>48</v>
      </c>
    </row>
    <row r="12" spans="1:12" x14ac:dyDescent="0.35">
      <c r="A12" t="s">
        <v>49</v>
      </c>
      <c r="E12" t="s">
        <v>50</v>
      </c>
    </row>
  </sheetData>
  <phoneticPr fontId="2" type="noConversion"/>
  <dataValidations count="1">
    <dataValidation type="list" allowBlank="1" showInputMessage="1" showErrorMessage="1" sqref="C5" xr:uid="{87E68739-4107-4B3F-9A79-5BE7132B4D0B}">
      <formula1>$A$1:$A$12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98DA-BD04-480F-A52B-F7D19FD6B603}">
  <sheetPr>
    <tabColor theme="8" tint="0.39997558519241921"/>
  </sheetPr>
  <dimension ref="B1:AL30"/>
  <sheetViews>
    <sheetView topLeftCell="B7" zoomScale="104" workbookViewId="0">
      <selection activeCell="D8" sqref="D8"/>
    </sheetView>
  </sheetViews>
  <sheetFormatPr defaultRowHeight="14.5" x14ac:dyDescent="0.35"/>
  <cols>
    <col min="2" max="2" width="17.54296875" customWidth="1"/>
    <col min="3" max="3" width="2.81640625" customWidth="1"/>
    <col min="4" max="4" width="17.81640625" customWidth="1"/>
    <col min="7" max="7" width="16.81640625" customWidth="1"/>
    <col min="8" max="34" width="3.453125" bestFit="1" customWidth="1"/>
  </cols>
  <sheetData>
    <row r="1" spans="2:38" hidden="1" x14ac:dyDescent="0.35">
      <c r="B1" s="3">
        <f>DATEVALUE("1"&amp;D8&amp;D10)</f>
        <v>45839</v>
      </c>
      <c r="D1" s="3">
        <f>EOMONTH(B1,0)</f>
        <v>45869</v>
      </c>
      <c r="G1" t="s">
        <v>51</v>
      </c>
      <c r="H1" t="str">
        <f ca="1">IF(H6=TODAY(),COUNTIF(H7:H30,"P"),"")</f>
        <v/>
      </c>
      <c r="I1" t="str">
        <f t="shared" ref="I1:AH1" ca="1" si="0">IF(I6=TODAY(),COUNTIF(I7:I30,"P"),"")</f>
        <v/>
      </c>
      <c r="J1" t="str">
        <f t="shared" ca="1" si="0"/>
        <v/>
      </c>
      <c r="K1" t="str">
        <f t="shared" ca="1" si="0"/>
        <v/>
      </c>
      <c r="L1" t="str">
        <f t="shared" ca="1" si="0"/>
        <v/>
      </c>
      <c r="M1" t="str">
        <f t="shared" ca="1" si="0"/>
        <v/>
      </c>
      <c r="N1" t="str">
        <f t="shared" ca="1" si="0"/>
        <v/>
      </c>
      <c r="O1" t="str">
        <f t="shared" ca="1" si="0"/>
        <v/>
      </c>
      <c r="P1" t="str">
        <f t="shared" ca="1" si="0"/>
        <v/>
      </c>
      <c r="Q1" t="str">
        <f t="shared" ca="1" si="0"/>
        <v/>
      </c>
      <c r="R1" t="str">
        <f t="shared" ca="1" si="0"/>
        <v/>
      </c>
      <c r="S1" t="str">
        <f t="shared" ca="1" si="0"/>
        <v/>
      </c>
      <c r="T1" t="str">
        <f t="shared" ca="1" si="0"/>
        <v/>
      </c>
      <c r="U1" t="str">
        <f t="shared" ca="1" si="0"/>
        <v/>
      </c>
      <c r="V1" t="str">
        <f t="shared" ca="1" si="0"/>
        <v/>
      </c>
      <c r="W1" t="str">
        <f t="shared" ca="1" si="0"/>
        <v/>
      </c>
      <c r="X1" t="str">
        <f t="shared" ca="1" si="0"/>
        <v/>
      </c>
      <c r="Y1" t="str">
        <f t="shared" ca="1" si="0"/>
        <v/>
      </c>
      <c r="Z1" t="str">
        <f t="shared" ca="1" si="0"/>
        <v/>
      </c>
      <c r="AA1" t="str">
        <f t="shared" ca="1" si="0"/>
        <v/>
      </c>
      <c r="AB1" t="str">
        <f t="shared" ca="1" si="0"/>
        <v/>
      </c>
      <c r="AC1" t="str">
        <f t="shared" ca="1" si="0"/>
        <v/>
      </c>
      <c r="AD1" t="str">
        <f t="shared" ca="1" si="0"/>
        <v/>
      </c>
      <c r="AE1" t="str">
        <f t="shared" ca="1" si="0"/>
        <v/>
      </c>
      <c r="AF1" t="str">
        <f t="shared" ca="1" si="0"/>
        <v/>
      </c>
      <c r="AG1" t="str">
        <f t="shared" ca="1" si="0"/>
        <v/>
      </c>
      <c r="AH1" t="str">
        <f t="shared" ca="1" si="0"/>
        <v/>
      </c>
    </row>
    <row r="2" spans="2:38" hidden="1" x14ac:dyDescent="0.35">
      <c r="B2" t="str">
        <f>TEXT(B1,"dddd")</f>
        <v>Tuesday</v>
      </c>
      <c r="G2" t="s">
        <v>52</v>
      </c>
      <c r="H2" t="str">
        <f ca="1">IF(H6=TODAY(),COUNTIF(H6:H31,"A"),"")</f>
        <v/>
      </c>
      <c r="I2" t="str">
        <f t="shared" ref="I2:W2" ca="1" si="1">IF(I6=TODAY(),COUNTIF(I6:I31,"A"),"")</f>
        <v/>
      </c>
      <c r="J2" t="str">
        <f t="shared" ca="1" si="1"/>
        <v/>
      </c>
      <c r="K2" t="str">
        <f t="shared" ca="1" si="1"/>
        <v/>
      </c>
      <c r="L2" t="str">
        <f t="shared" ca="1" si="1"/>
        <v/>
      </c>
      <c r="M2" t="str">
        <f t="shared" ca="1" si="1"/>
        <v/>
      </c>
      <c r="N2" t="str">
        <f t="shared" ca="1" si="1"/>
        <v/>
      </c>
      <c r="O2" t="str">
        <f t="shared" ca="1" si="1"/>
        <v/>
      </c>
      <c r="P2" t="str">
        <f t="shared" ca="1" si="1"/>
        <v/>
      </c>
      <c r="Q2" t="str">
        <f t="shared" ca="1" si="1"/>
        <v/>
      </c>
      <c r="R2" t="str">
        <f t="shared" ca="1" si="1"/>
        <v/>
      </c>
      <c r="S2" t="str">
        <f t="shared" ca="1" si="1"/>
        <v/>
      </c>
      <c r="T2" t="str">
        <f t="shared" ca="1" si="1"/>
        <v/>
      </c>
      <c r="U2" t="str">
        <f t="shared" ca="1" si="1"/>
        <v/>
      </c>
      <c r="V2" t="str">
        <f t="shared" ca="1" si="1"/>
        <v/>
      </c>
      <c r="W2" t="str">
        <f t="shared" ca="1" si="1"/>
        <v/>
      </c>
      <c r="X2" t="str">
        <f t="shared" ref="X2:AH2" ca="1" si="2">IF(X6=TODAY(),COUNTIF(X6:X31,"A"),"")</f>
        <v/>
      </c>
      <c r="Y2" t="str">
        <f t="shared" ca="1" si="2"/>
        <v/>
      </c>
      <c r="Z2" t="str">
        <f t="shared" ca="1" si="2"/>
        <v/>
      </c>
      <c r="AA2" t="str">
        <f t="shared" ca="1" si="2"/>
        <v/>
      </c>
      <c r="AB2" t="str">
        <f t="shared" ca="1" si="2"/>
        <v/>
      </c>
      <c r="AC2" t="str">
        <f t="shared" ca="1" si="2"/>
        <v/>
      </c>
      <c r="AD2" t="str">
        <f t="shared" ca="1" si="2"/>
        <v/>
      </c>
      <c r="AE2" t="str">
        <f t="shared" ca="1" si="2"/>
        <v/>
      </c>
      <c r="AF2" t="str">
        <f t="shared" ca="1" si="2"/>
        <v/>
      </c>
      <c r="AG2" t="str">
        <f t="shared" ca="1" si="2"/>
        <v/>
      </c>
      <c r="AH2" t="str">
        <f t="shared" ca="1" si="2"/>
        <v/>
      </c>
    </row>
    <row r="3" spans="2:38" hidden="1" x14ac:dyDescent="0.35">
      <c r="G3" t="s">
        <v>53</v>
      </c>
      <c r="H3" t="str">
        <f ca="1">IF(H6=TODAY(),COUNTIF(H6:H32,"H"),"")</f>
        <v/>
      </c>
      <c r="I3" t="str">
        <f t="shared" ref="I3:AH3" ca="1" si="3">IF(I6=TODAY(),COUNTIF(I6:I32,"H"),"")</f>
        <v/>
      </c>
      <c r="J3" t="str">
        <f t="shared" ca="1" si="3"/>
        <v/>
      </c>
      <c r="K3" t="str">
        <f t="shared" ca="1" si="3"/>
        <v/>
      </c>
      <c r="L3" t="str">
        <f t="shared" ca="1" si="3"/>
        <v/>
      </c>
      <c r="M3" t="str">
        <f t="shared" ca="1" si="3"/>
        <v/>
      </c>
      <c r="N3" t="str">
        <f t="shared" ca="1" si="3"/>
        <v/>
      </c>
      <c r="O3" t="str">
        <f t="shared" ca="1" si="3"/>
        <v/>
      </c>
      <c r="P3" t="str">
        <f t="shared" ca="1" si="3"/>
        <v/>
      </c>
      <c r="Q3" t="str">
        <f t="shared" ca="1" si="3"/>
        <v/>
      </c>
      <c r="R3" t="str">
        <f t="shared" ca="1" si="3"/>
        <v/>
      </c>
      <c r="S3" t="str">
        <f t="shared" ca="1" si="3"/>
        <v/>
      </c>
      <c r="T3" t="str">
        <f t="shared" ca="1" si="3"/>
        <v/>
      </c>
      <c r="U3" t="str">
        <f t="shared" ca="1" si="3"/>
        <v/>
      </c>
      <c r="V3" t="str">
        <f t="shared" ca="1" si="3"/>
        <v/>
      </c>
      <c r="W3" t="str">
        <f t="shared" ca="1" si="3"/>
        <v/>
      </c>
      <c r="X3" t="str">
        <f t="shared" ca="1" si="3"/>
        <v/>
      </c>
      <c r="Y3" t="str">
        <f t="shared" ca="1" si="3"/>
        <v/>
      </c>
      <c r="Z3" t="str">
        <f t="shared" ca="1" si="3"/>
        <v/>
      </c>
      <c r="AA3" t="str">
        <f t="shared" ca="1" si="3"/>
        <v/>
      </c>
      <c r="AB3" t="str">
        <f t="shared" ca="1" si="3"/>
        <v/>
      </c>
      <c r="AC3" t="str">
        <f t="shared" ca="1" si="3"/>
        <v/>
      </c>
      <c r="AD3" t="str">
        <f t="shared" ca="1" si="3"/>
        <v/>
      </c>
      <c r="AE3" t="str">
        <f t="shared" ca="1" si="3"/>
        <v/>
      </c>
      <c r="AF3" t="str">
        <f t="shared" ca="1" si="3"/>
        <v/>
      </c>
      <c r="AG3" t="str">
        <f t="shared" ca="1" si="3"/>
        <v/>
      </c>
      <c r="AH3" t="str">
        <f t="shared" ca="1" si="3"/>
        <v/>
      </c>
    </row>
    <row r="5" spans="2:38" ht="26" x14ac:dyDescent="0.35">
      <c r="H5" s="5" t="str">
        <f>TEXT(H6,"ddd")</f>
        <v>Wed</v>
      </c>
      <c r="I5" s="5" t="str">
        <f t="shared" ref="I5" si="4">TEXT(I6,"ddd")</f>
        <v>Thu</v>
      </c>
      <c r="J5" s="5" t="str">
        <f t="shared" ref="J5" si="5">TEXT(J6,"ddd")</f>
        <v>Fri</v>
      </c>
      <c r="K5" s="5" t="str">
        <f t="shared" ref="K5" si="6">TEXT(K6,"ddd")</f>
        <v>Sat</v>
      </c>
      <c r="L5" s="5" t="str">
        <f t="shared" ref="L5" si="7">TEXT(L6,"ddd")</f>
        <v>Sun</v>
      </c>
      <c r="M5" s="5" t="str">
        <f t="shared" ref="M5" si="8">TEXT(M6,"ddd")</f>
        <v>Mon</v>
      </c>
      <c r="N5" s="5" t="str">
        <f t="shared" ref="N5" si="9">TEXT(N6,"ddd")</f>
        <v>Wed</v>
      </c>
      <c r="O5" s="5" t="str">
        <f t="shared" ref="O5" si="10">TEXT(O6,"ddd")</f>
        <v>Thu</v>
      </c>
      <c r="P5" s="5" t="str">
        <f t="shared" ref="P5" si="11">TEXT(P6,"ddd")</f>
        <v>Fri</v>
      </c>
      <c r="Q5" s="5" t="str">
        <f t="shared" ref="Q5" si="12">TEXT(Q6,"ddd")</f>
        <v>Sat</v>
      </c>
      <c r="R5" s="5" t="str">
        <f t="shared" ref="R5" si="13">TEXT(R6,"ddd")</f>
        <v>Sun</v>
      </c>
      <c r="S5" s="5" t="str">
        <f t="shared" ref="S5" si="14">TEXT(S6,"ddd")</f>
        <v>Mon</v>
      </c>
      <c r="T5" s="5" t="str">
        <f t="shared" ref="T5" si="15">TEXT(T6,"ddd")</f>
        <v>Wed</v>
      </c>
      <c r="U5" s="5" t="str">
        <f t="shared" ref="U5" si="16">TEXT(U6,"ddd")</f>
        <v>Thu</v>
      </c>
      <c r="V5" s="5" t="str">
        <f t="shared" ref="V5" si="17">TEXT(V6,"ddd")</f>
        <v>Fri</v>
      </c>
      <c r="W5" s="5" t="str">
        <f t="shared" ref="W5" si="18">TEXT(W6,"ddd")</f>
        <v>Sat</v>
      </c>
      <c r="X5" s="5" t="str">
        <f t="shared" ref="X5" si="19">TEXT(X6,"ddd")</f>
        <v>Sun</v>
      </c>
      <c r="Y5" s="5" t="str">
        <f t="shared" ref="Y5" si="20">TEXT(Y6,"ddd")</f>
        <v>Mon</v>
      </c>
      <c r="Z5" s="5" t="str">
        <f t="shared" ref="Z5" si="21">TEXT(Z6,"ddd")</f>
        <v>Wed</v>
      </c>
      <c r="AA5" s="5" t="str">
        <f t="shared" ref="AA5" si="22">TEXT(AA6,"ddd")</f>
        <v>Thu</v>
      </c>
      <c r="AB5" s="5" t="str">
        <f t="shared" ref="AB5" si="23">TEXT(AB6,"ddd")</f>
        <v>Fri</v>
      </c>
      <c r="AC5" s="5" t="str">
        <f t="shared" ref="AC5" si="24">TEXT(AC6,"ddd")</f>
        <v>Sat</v>
      </c>
      <c r="AD5" s="5" t="str">
        <f t="shared" ref="AD5" si="25">TEXT(AD6,"ddd")</f>
        <v>Sun</v>
      </c>
      <c r="AE5" s="5" t="str">
        <f t="shared" ref="AE5" si="26">TEXT(AE6,"ddd")</f>
        <v>Mon</v>
      </c>
      <c r="AF5" s="5" t="str">
        <f t="shared" ref="AF5" si="27">TEXT(AF6,"ddd")</f>
        <v>Wed</v>
      </c>
      <c r="AG5" s="5" t="str">
        <f t="shared" ref="AG5" si="28">TEXT(AG6,"ddd")</f>
        <v>Thu</v>
      </c>
      <c r="AH5" s="5" t="str">
        <f t="shared" ref="AH5" si="29">TEXT(AH6,"ddd")</f>
        <v/>
      </c>
      <c r="AI5" t="str">
        <f t="shared" ref="AI5" si="30">TEXT(AI6,"ddd")</f>
        <v/>
      </c>
      <c r="AJ5" t="str">
        <f t="shared" ref="AJ5" si="31">TEXT(AJ6,"ddd")</f>
        <v/>
      </c>
    </row>
    <row r="6" spans="2:38" x14ac:dyDescent="0.35">
      <c r="B6" s="21" t="s">
        <v>0</v>
      </c>
      <c r="C6" s="21"/>
      <c r="D6" s="21"/>
      <c r="F6" t="s">
        <v>1</v>
      </c>
      <c r="G6" t="s">
        <v>2</v>
      </c>
      <c r="H6" s="4">
        <f>IF(TEXT(B1,"dddd")=D12,B1+1,B1)</f>
        <v>45840</v>
      </c>
      <c r="I6" s="4">
        <f>IFERROR(IF(IF(TEXT(H6+1,"dddd")=$D$12,H6+2,H6+1)&lt;=$D$1,IF(TEXT(H6+1,"dddd")=$D$12,H6+2,H6+1),""),"")</f>
        <v>45841</v>
      </c>
      <c r="J6" s="4">
        <f t="shared" ref="J6:AJ6" si="32">IFERROR(IF(IF(TEXT(I6+1,"dddd")=$D$12,I6+2,I6+1)&lt;=$D$1,IF(TEXT(I6+1,"dddd")=$D$12,I6+2,I6+1),""),"")</f>
        <v>45842</v>
      </c>
      <c r="K6" s="4">
        <f t="shared" si="32"/>
        <v>45843</v>
      </c>
      <c r="L6" s="4">
        <f t="shared" si="32"/>
        <v>45844</v>
      </c>
      <c r="M6" s="4">
        <f t="shared" si="32"/>
        <v>45845</v>
      </c>
      <c r="N6" s="4">
        <f t="shared" si="32"/>
        <v>45847</v>
      </c>
      <c r="O6" s="4">
        <f t="shared" si="32"/>
        <v>45848</v>
      </c>
      <c r="P6" s="4">
        <f t="shared" si="32"/>
        <v>45849</v>
      </c>
      <c r="Q6" s="4">
        <f t="shared" si="32"/>
        <v>45850</v>
      </c>
      <c r="R6" s="4">
        <f t="shared" si="32"/>
        <v>45851</v>
      </c>
      <c r="S6" s="4">
        <f t="shared" si="32"/>
        <v>45852</v>
      </c>
      <c r="T6" s="4">
        <f t="shared" si="32"/>
        <v>45854</v>
      </c>
      <c r="U6" s="4">
        <f t="shared" si="32"/>
        <v>45855</v>
      </c>
      <c r="V6" s="4">
        <f t="shared" si="32"/>
        <v>45856</v>
      </c>
      <c r="W6" s="4">
        <f t="shared" si="32"/>
        <v>45857</v>
      </c>
      <c r="X6" s="4">
        <f t="shared" si="32"/>
        <v>45858</v>
      </c>
      <c r="Y6" s="4">
        <f t="shared" si="32"/>
        <v>45859</v>
      </c>
      <c r="Z6" s="4">
        <f t="shared" si="32"/>
        <v>45861</v>
      </c>
      <c r="AA6" s="4">
        <f t="shared" si="32"/>
        <v>45862</v>
      </c>
      <c r="AB6" s="4">
        <f t="shared" si="32"/>
        <v>45863</v>
      </c>
      <c r="AC6" s="4">
        <f t="shared" si="32"/>
        <v>45864</v>
      </c>
      <c r="AD6" s="4">
        <f t="shared" si="32"/>
        <v>45865</v>
      </c>
      <c r="AE6" s="4">
        <f t="shared" si="32"/>
        <v>45866</v>
      </c>
      <c r="AF6" s="4">
        <f t="shared" si="32"/>
        <v>45868</v>
      </c>
      <c r="AG6" s="4">
        <f t="shared" si="32"/>
        <v>45869</v>
      </c>
      <c r="AH6" s="4" t="str">
        <f t="shared" si="32"/>
        <v/>
      </c>
      <c r="AI6" s="3" t="str">
        <f t="shared" si="32"/>
        <v/>
      </c>
      <c r="AJ6" s="3" t="str">
        <f t="shared" si="32"/>
        <v/>
      </c>
    </row>
    <row r="7" spans="2:38" x14ac:dyDescent="0.35"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J7" s="13" t="s">
        <v>54</v>
      </c>
      <c r="AK7" s="13" t="s">
        <v>55</v>
      </c>
      <c r="AL7" s="13" t="s">
        <v>56</v>
      </c>
    </row>
    <row r="8" spans="2:38" x14ac:dyDescent="0.35">
      <c r="B8" s="1" t="s">
        <v>3</v>
      </c>
      <c r="C8" s="1"/>
      <c r="D8" s="2" t="s">
        <v>41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J8">
        <f>COUNTIF(H7:AH7,"A")</f>
        <v>0</v>
      </c>
      <c r="AK8">
        <f>COUNTIF(H7:AH7,"P")</f>
        <v>0</v>
      </c>
      <c r="AL8">
        <f>COUNTIF(H7:AH7,"H")</f>
        <v>0</v>
      </c>
    </row>
    <row r="9" spans="2:38" x14ac:dyDescent="0.35">
      <c r="D9" s="14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2:38" x14ac:dyDescent="0.35">
      <c r="B10" s="1" t="s">
        <v>57</v>
      </c>
      <c r="C10" s="1"/>
      <c r="D10" s="2">
        <v>2025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2:38" x14ac:dyDescent="0.35">
      <c r="D11" s="14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2:38" x14ac:dyDescent="0.35">
      <c r="B12" s="1" t="s">
        <v>58</v>
      </c>
      <c r="C12" s="1"/>
      <c r="D12" s="2" t="s">
        <v>25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2:38" x14ac:dyDescent="0.35"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2:38" x14ac:dyDescent="0.35">
      <c r="B14" s="1" t="s">
        <v>59</v>
      </c>
      <c r="C14" s="1"/>
      <c r="D14" s="1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2:38" x14ac:dyDescent="0.35">
      <c r="B15" s="1" t="s">
        <v>60</v>
      </c>
      <c r="C15" s="1"/>
      <c r="D15" s="1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2:38" x14ac:dyDescent="0.35">
      <c r="B16" s="1" t="s">
        <v>61</v>
      </c>
      <c r="C16" s="1"/>
      <c r="D16" s="1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2:34" x14ac:dyDescent="0.35"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2:34" x14ac:dyDescent="0.35">
      <c r="B18" s="15" t="s">
        <v>14</v>
      </c>
      <c r="D18" s="15" t="s">
        <v>55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2:34" x14ac:dyDescent="0.35">
      <c r="B19" s="22">
        <f>COUNTA(F7:F30)</f>
        <v>0</v>
      </c>
      <c r="D19" s="22">
        <f ca="1">SUM(H1:AH1)</f>
        <v>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2:34" x14ac:dyDescent="0.35">
      <c r="B20" s="22"/>
      <c r="D20" s="22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2:34" x14ac:dyDescent="0.35">
      <c r="B21" s="22"/>
      <c r="D21" s="2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spans="2:34" x14ac:dyDescent="0.35"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2:34" x14ac:dyDescent="0.35">
      <c r="B23" s="15" t="s">
        <v>54</v>
      </c>
      <c r="D23" s="15" t="s">
        <v>56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2:34" x14ac:dyDescent="0.35">
      <c r="B24" s="23">
        <f ca="1">SUM(H2:AH2)</f>
        <v>0</v>
      </c>
      <c r="D24" s="23">
        <f ca="1">SUM(H3:AH3)</f>
        <v>0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2:34" x14ac:dyDescent="0.35">
      <c r="B25" s="23"/>
      <c r="D25" s="2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2:34" x14ac:dyDescent="0.35">
      <c r="B26" s="23"/>
      <c r="D26" s="2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2:34" x14ac:dyDescent="0.35"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spans="2:34" x14ac:dyDescent="0.35"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spans="2:34" x14ac:dyDescent="0.35"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 spans="2:34" x14ac:dyDescent="0.35"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</sheetData>
  <mergeCells count="5">
    <mergeCell ref="B6:D6"/>
    <mergeCell ref="B19:B21"/>
    <mergeCell ref="D19:D21"/>
    <mergeCell ref="B24:B26"/>
    <mergeCell ref="D24:D26"/>
  </mergeCells>
  <phoneticPr fontId="2" type="noConversion"/>
  <conditionalFormatting sqref="D8">
    <cfRule type="timePeriod" dxfId="9" priority="2" timePeriod="today">
      <formula>FLOOR(D8,1)=TODAY()</formula>
    </cfRule>
  </conditionalFormatting>
  <conditionalFormatting sqref="F6:AH6">
    <cfRule type="expression" dxfId="8" priority="7">
      <formula>F$6&lt;&gt;""</formula>
    </cfRule>
  </conditionalFormatting>
  <conditionalFormatting sqref="H6:AH6">
    <cfRule type="timePeriod" dxfId="7" priority="1" timePeriod="today">
      <formula>FLOOR(H6,1)=TODAY()</formula>
    </cfRule>
  </conditionalFormatting>
  <conditionalFormatting sqref="AJ7:AL7 F7:AH30">
    <cfRule type="expression" dxfId="6" priority="6">
      <formula>F$6&lt;&gt;""</formula>
    </cfRule>
  </conditionalFormatting>
  <conditionalFormatting sqref="AJ7:AL7 H7:AH30">
    <cfRule type="expression" dxfId="5" priority="4">
      <formula>$D$12=TEXT(H$6-1,"dddd")</formula>
    </cfRule>
  </conditionalFormatting>
  <dataValidations count="1">
    <dataValidation type="list" allowBlank="1" showInputMessage="1" showErrorMessage="1" sqref="D10" xr:uid="{556C2963-C940-4B53-87D0-976908532DF7}">
      <formula1>"2025,2026,2027"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F559666-208B-460B-98B7-7862AB495B86}">
          <x14:formula1>
            <xm:f>Sheet2!$E$1:$E$12</xm:f>
          </x14:formula1>
          <xm:sqref>D8</xm:sqref>
        </x14:dataValidation>
        <x14:dataValidation type="list" allowBlank="1" showInputMessage="1" showErrorMessage="1" xr:uid="{F1FE3B61-D9AC-4FC3-8043-8D5CFF5A79AA}">
          <x14:formula1>
            <xm:f>Sheet2!$F$1:$F$7</xm:f>
          </x14:formula1>
          <xm:sqref>D12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Attendance sheet</vt:lpstr>
      <vt:lpstr>Sheet1</vt:lpstr>
      <vt:lpstr>Sheet2</vt:lpstr>
      <vt:lpstr>Attendance 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sanika b</dc:creator>
  <cp:keywords/>
  <dc:description/>
  <cp:lastModifiedBy>sanika b</cp:lastModifiedBy>
  <cp:revision/>
  <dcterms:created xsi:type="dcterms:W3CDTF">2025-08-28T05:27:09Z</dcterms:created>
  <dcterms:modified xsi:type="dcterms:W3CDTF">2026-03-01T15:50:59Z</dcterms:modified>
  <cp:category/>
  <cp:contentStatus/>
</cp:coreProperties>
</file>